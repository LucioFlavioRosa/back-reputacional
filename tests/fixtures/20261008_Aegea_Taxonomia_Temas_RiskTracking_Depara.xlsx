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uilhermeBarrottiTre\Downloads\"/>
    </mc:Choice>
  </mc:AlternateContent>
  <xr:revisionPtr revIDLastSave="0" documentId="13_ncr:1_{4170427F-2DCD-43B9-8598-AF72901E67B5}" xr6:coauthVersionLast="47" xr6:coauthVersionMax="47" xr10:uidLastSave="{00000000-0000-0000-0000-000000000000}"/>
  <bookViews>
    <workbookView xWindow="57480" yWindow="-120" windowWidth="29040" windowHeight="15720" tabRatio="500" activeTab="2" xr2:uid="{00000000-000D-0000-FFFF-FFFF00000000}"/>
  </bookViews>
  <sheets>
    <sheet name="Como ler" sheetId="1" r:id="rId1"/>
    <sheet name="Visão Fernanda" sheetId="2" state="hidden" r:id="rId2"/>
    <sheet name="De-para Risk tracking" sheetId="3" r:id="rId3"/>
    <sheet name="Taxonomia de temas" sheetId="4" r:id="rId4"/>
    <sheet name="Risk tracking map" sheetId="5" r:id="rId5"/>
    <sheet name="Pontos de atenção" sheetId="6" r:id="rId6"/>
  </sheets>
  <definedNames>
    <definedName name="_xlnm._FilterDatabase" localSheetId="2" hidden="1">'De-para Risk tracking'!$A$1:$N$105</definedName>
    <definedName name="_xlnm._FilterDatabase" localSheetId="3" hidden="1">'Taxonomia de temas'!$A$1:$J$105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3" i="5" l="1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</calcChain>
</file>

<file path=xl/sharedStrings.xml><?xml version="1.0" encoding="utf-8"?>
<sst xmlns="http://schemas.openxmlformats.org/spreadsheetml/2006/main" count="2164" uniqueCount="539">
  <si>
    <t>De-para entre a taxonomia de temas e o risk tracking corporativo</t>
  </si>
  <si>
    <t>O que este arquivo responde</t>
  </si>
  <si>
    <t>Dado um fato de mídia já classificado na taxonomia de três níveis, qual risco corporativo da Aegea ele materializa. A ligação é feita no nível do subtema, que é o nível em que a notícia é classificada.</t>
  </si>
  <si>
    <t>Fontes e datas de corte</t>
  </si>
  <si>
    <t>Taxonomia de temas: versão de três níveis fechada em 07/10/2026. 104 subtemas, 7 pilares.</t>
  </si>
  <si>
    <t>Risk tracking: 32 riscos em 8 clusters, com severidade validada pela Aegea em 07/10/2026. Severidade reproduzida como recebida, sem recálculo.</t>
  </si>
  <si>
    <t>Atribuição subtema para risco: premissa Peers, data de corte 08/10/2026. Não validada com a área de Riscos da Aegea. É isto que esta reunião precisa decidir.</t>
  </si>
  <si>
    <t>Regra de atribuição usada</t>
  </si>
  <si>
    <t>Cada subtema recebe um risco primário, que é o risco onde o dano se materializa, e não o risco de onde vem a narrativa. Exemplo: reajuste tarifário gera reação da comunidade, mas o dano se materializa no eixo Legal e Regulatório, porque o ato é regulatório e é lá que a empresa responde.</t>
  </si>
  <si>
    <t>O risco secundário registra a segunda leitura legítima do mesmo fato. Serve para discussão, não para contagem. Somar primário e secundário gera dupla contagem.</t>
  </si>
  <si>
    <t>Quatro subtemas ficam como Sem enquadramento. São narrativa institucional ou impacto positivo, sem risco corporativo correspondente. A ausência é deliberada, não é falha de mapeamento.</t>
  </si>
  <si>
    <t>Coluna de exemplo de notícia</t>
  </si>
  <si>
    <t>Cada linha traz um exemplo de notícia que se enquadra ao mesmo tempo no subtema e no risco atribuído. Serve para testar a regra: se o exemplo não convencer, a atribuição está errada.</t>
  </si>
  <si>
    <t>ATENÇÃO. A base de clipping não está carregada nesta sessão. Os exemplos marcados como Base jan/2026 (Clipei) vêm de registros efetivamente observados na amostra de janeiro de 2026, 8.513 registros, e estão destacados em verde. Os demais estão marcados como Exemplo típico (premissa Peers): são formulações construídas por nós, com base no padrão de cobertura do setor, e não são registros reais da base.</t>
  </si>
  <si>
    <t>Para substituir os exemplos típicos por títulos reais, é preciso reclassificar a base de janeiro nos 104 subtemas. A classificação atual da base usa a taxonomia antiga de 38 temas e não reconcilia com esta versão.</t>
  </si>
  <si>
    <t>Abas</t>
  </si>
  <si>
    <t>De-para Risk tracking: as 104 linhas, com risco primário, secundário, justificativa, exemplo e colunas de validação.</t>
  </si>
  <si>
    <t>Taxonomia de temas: a taxonomia original, com a coluna Risk tracking agora preenchida.</t>
  </si>
  <si>
    <t>Risk tracking map: os 32 riscos, com a contagem de subtemas atribuídos a cada um.</t>
  </si>
  <si>
    <t>Pontos de atenção: o que recomendamos decidir antes do sign-off.</t>
  </si>
  <si>
    <t>Visão Fernanda: aba original, mantida sem alteração.</t>
  </si>
  <si>
    <t>Cores</t>
  </si>
  <si>
    <t>Amarelo: preenchimento da Aegea na validação. Verde: exemplo com lastro na base de janeiro. Cinza: subtema sem enquadramento de risco.</t>
  </si>
  <si>
    <t>Nível 1: Pilar reputacional</t>
  </si>
  <si>
    <t>Nível 2: Tema estratégico</t>
  </si>
  <si>
    <t>Nível 3: Subtema</t>
  </si>
  <si>
    <t>LSO</t>
  </si>
  <si>
    <t>Formato</t>
  </si>
  <si>
    <t>Detalhamento</t>
  </si>
  <si>
    <t>Pauta</t>
  </si>
  <si>
    <t>Campo de classificação da empresa</t>
  </si>
  <si>
    <t>To do Comunicação</t>
  </si>
  <si>
    <t>1. Governança</t>
  </si>
  <si>
    <t>Governança corporativa</t>
  </si>
  <si>
    <t>Estrutura de governança / Conselho e comitês</t>
  </si>
  <si>
    <t>Credibilidade</t>
  </si>
  <si>
    <t>Notícias/Publicações</t>
  </si>
  <si>
    <t>Espontânea</t>
  </si>
  <si>
    <t>Concorrentes</t>
  </si>
  <si>
    <t>Definição de porta-vozes</t>
  </si>
  <si>
    <t>Acionistas</t>
  </si>
  <si>
    <t>Comunicados</t>
  </si>
  <si>
    <t>Produzida</t>
  </si>
  <si>
    <t>Unidades Aegea</t>
  </si>
  <si>
    <t>Preenchimento planilha</t>
  </si>
  <si>
    <t>Contratos e Regulação</t>
  </si>
  <si>
    <t>Cumprimento contratual</t>
  </si>
  <si>
    <t>Legitimidade</t>
  </si>
  <si>
    <t>Entrevistas</t>
  </si>
  <si>
    <t>Provocada</t>
  </si>
  <si>
    <t>Validar taxonomia</t>
  </si>
  <si>
    <t>Revisão e renovação de contratos</t>
  </si>
  <si>
    <t>Nota explicativa</t>
  </si>
  <si>
    <t>Publicidade</t>
  </si>
  <si>
    <t>Usuários</t>
  </si>
  <si>
    <t>Reequilíbrio econômico-financeiro</t>
  </si>
  <si>
    <t>Reprisk</t>
  </si>
  <si>
    <t>Segurança jurídica</t>
  </si>
  <si>
    <t>Porta vozes</t>
  </si>
  <si>
    <t>Fiscalização regulatória</t>
  </si>
  <si>
    <t>Multa e processos</t>
  </si>
  <si>
    <t>Integridade</t>
  </si>
  <si>
    <t>Ética e conduta</t>
  </si>
  <si>
    <t>Investigações e Acordo</t>
  </si>
  <si>
    <t>Controles internos / Prevenção à fraude e corrupção</t>
  </si>
  <si>
    <t>Demonstrações de resultados e auditoria</t>
  </si>
  <si>
    <t>Modelo de negócio</t>
  </si>
  <si>
    <t>Modelo Operacional Aegea</t>
  </si>
  <si>
    <t>Político-institucional</t>
  </si>
  <si>
    <t>Políticas públicas e setoriais</t>
  </si>
  <si>
    <t>Patrocínios</t>
  </si>
  <si>
    <t>Debate público versus privado</t>
  </si>
  <si>
    <t>Judicialização e CPIs</t>
  </si>
  <si>
    <t>Marco Legal do Saneamento</t>
  </si>
  <si>
    <t>Agências reguladoras</t>
  </si>
  <si>
    <t>Agenda Associações (Politicas setoriais)</t>
  </si>
  <si>
    <t>2. Eficiência Operacional e Qualidade</t>
  </si>
  <si>
    <t>Água Abastecimento</t>
  </si>
  <si>
    <t>Frequência, Continuidade</t>
  </si>
  <si>
    <t>Perdas, fraudes, furtos e ligações irregulares</t>
  </si>
  <si>
    <t>Rompimento de adutora</t>
  </si>
  <si>
    <t>Plano de contingência e redundância</t>
  </si>
  <si>
    <t>Informativo sobre abastecimento</t>
  </si>
  <si>
    <t>Talvez tirar, estava informativo</t>
  </si>
  <si>
    <t>Água Qualidade</t>
  </si>
  <si>
    <t>Gestão da qualidade da água</t>
  </si>
  <si>
    <t>Monitoramento e controle de qualidade da água</t>
  </si>
  <si>
    <t>Potabilidade</t>
  </si>
  <si>
    <t>Esgoto</t>
  </si>
  <si>
    <t>Rede e Coleta de esgoto</t>
  </si>
  <si>
    <t>Tratamento de esgoto</t>
  </si>
  <si>
    <t>Lançamento irregular e extravazamento</t>
  </si>
  <si>
    <t>Balneabilidade</t>
  </si>
  <si>
    <t>Obras e intervenções</t>
  </si>
  <si>
    <t>Custos e eficiência</t>
  </si>
  <si>
    <t>Acidentes e danos a terceiros</t>
  </si>
  <si>
    <t>Expansão da rede</t>
  </si>
  <si>
    <t>Pavimentação e recomposição</t>
  </si>
  <si>
    <t>Manutenção, interdicções e transtornos urbanos</t>
  </si>
  <si>
    <t>Atendimento ao cliente</t>
  </si>
  <si>
    <t xml:space="preserve">Canais de atendimento </t>
  </si>
  <si>
    <t>Órgãos de defesa ao cliente (Ouvidoria, Procon, Reclame Aqui, etc)</t>
  </si>
  <si>
    <t>Faturamento e cobrança</t>
  </si>
  <si>
    <t>Medição e leitura</t>
  </si>
  <si>
    <t>Conta errada, Tarifa abusiva</t>
  </si>
  <si>
    <t>Inadimplência, Corte e religação</t>
  </si>
  <si>
    <t>Segurança operacional e patrimonial</t>
  </si>
  <si>
    <t>Segurança, ameaças e invasões</t>
  </si>
  <si>
    <t>3. Crescimento e Solidez Financeira</t>
  </si>
  <si>
    <t>Tarifa</t>
  </si>
  <si>
    <t>Reajuste/ Revisão tarifária</t>
  </si>
  <si>
    <t>Estrutura e composição tarifária</t>
  </si>
  <si>
    <t>Desempenho financeiro</t>
  </si>
  <si>
    <t>Resultados financeiros e operacionais</t>
  </si>
  <si>
    <t>Projeções e guidance</t>
  </si>
  <si>
    <t>Estrutura de capital</t>
  </si>
  <si>
    <t>Endividamento e alavancagem</t>
  </si>
  <si>
    <t>Aportes dos acionistas</t>
  </si>
  <si>
    <t>Dividendos e distribuição de capital</t>
  </si>
  <si>
    <t>Emissão de dívida / Debêntures e bonds</t>
  </si>
  <si>
    <t>IPO e acesso ao mercado de ações</t>
  </si>
  <si>
    <t>Crédito e rating</t>
  </si>
  <si>
    <t>Percepção de risco de crédito / Rating corporativo</t>
  </si>
  <si>
    <t>Covenants</t>
  </si>
  <si>
    <t>Crescimento e portfólio</t>
  </si>
  <si>
    <t>Novos Negócios e Leilões</t>
  </si>
  <si>
    <t>M&amp;A e parcerias</t>
  </si>
  <si>
    <t>Venda de ativo</t>
  </si>
  <si>
    <t>Entrada em novos mercados</t>
  </si>
  <si>
    <t>Resíduos sólidos</t>
  </si>
  <si>
    <t>Coleta de resíduos / Tratamento e Destinação</t>
  </si>
  <si>
    <t>Taxa de lixo</t>
  </si>
  <si>
    <t>Economia circular</t>
  </si>
  <si>
    <t>Reúso de água</t>
  </si>
  <si>
    <t>4. Responsabilidade Social</t>
  </si>
  <si>
    <t>Ações Sociais</t>
  </si>
  <si>
    <t>Programas sociais e comunidade</t>
  </si>
  <si>
    <t>Confiança</t>
  </si>
  <si>
    <t>Inclusão sanitária / Acessibilidade econômica</t>
  </si>
  <si>
    <t>Tarifa social</t>
  </si>
  <si>
    <t>Cadastro e elegibilidade</t>
  </si>
  <si>
    <t>Renegociação e apoio ao cliente</t>
  </si>
  <si>
    <t>Relacionamento comunitário</t>
  </si>
  <si>
    <t>Patrocínios incentivados</t>
  </si>
  <si>
    <t>Educação e conscientização</t>
  </si>
  <si>
    <t>Educação ambiental / Engajamento em saneamento e saúde / Uso consciente da água</t>
  </si>
  <si>
    <t>Pessoas</t>
  </si>
  <si>
    <t>Contratação</t>
  </si>
  <si>
    <t xml:space="preserve">Pessoas </t>
  </si>
  <si>
    <t>Atração e desenvolvimento</t>
  </si>
  <si>
    <t>Equidade, Diversidade e inclusão</t>
  </si>
  <si>
    <t>Segurança, condições e relações de trabalho</t>
  </si>
  <si>
    <t>Cultura organizacional</t>
  </si>
  <si>
    <t>Saúde e segurança</t>
  </si>
  <si>
    <t>Segurança dos trabalhadores / Acidentes de trabalho</t>
  </si>
  <si>
    <t>Relações de trabalho</t>
  </si>
  <si>
    <t>Relações sindicais</t>
  </si>
  <si>
    <t>Terceirizados</t>
  </si>
  <si>
    <t>5. Responsabilidade Ambiental</t>
  </si>
  <si>
    <t>Proteção ambiental</t>
  </si>
  <si>
    <t>Proteção de mananciais / Recuperação ambiental</t>
  </si>
  <si>
    <t>Oceanos</t>
  </si>
  <si>
    <t xml:space="preserve"> Meio ambiente e clima</t>
  </si>
  <si>
    <t>Resiliência hídrica e novas fontes</t>
  </si>
  <si>
    <t>Energia</t>
  </si>
  <si>
    <t>Eficiência energética / Energia renovável / Autoprodução e geração distribuída</t>
  </si>
  <si>
    <t>Mudanças climáticas</t>
  </si>
  <si>
    <t>Emissão gases efeito estufa</t>
  </si>
  <si>
    <t>Eventos Climáticos</t>
  </si>
  <si>
    <t>Adaptação e resiliência</t>
  </si>
  <si>
    <t>Biodiversidade</t>
  </si>
  <si>
    <t>Licenciamento ambiental</t>
  </si>
  <si>
    <t>Licenças e autorizações / Condicionantes ambientais / Fiscalização e autuações</t>
  </si>
  <si>
    <t>Economia circular e reúso</t>
  </si>
  <si>
    <t>Aproveitamento de subprodutos</t>
  </si>
  <si>
    <t>Gestão de lodo</t>
  </si>
  <si>
    <t>Redução e valorização de resíduos</t>
  </si>
  <si>
    <t>6. Inovação e Tecnologia</t>
  </si>
  <si>
    <t>Tecnologia operação</t>
  </si>
  <si>
    <t>Monitoramento em tempo real</t>
  </si>
  <si>
    <t>Gestão de ativos</t>
  </si>
  <si>
    <t>Sensoriamento e telemetria</t>
  </si>
  <si>
    <t>Automação e inteligência artificial</t>
  </si>
  <si>
    <t>Automação de processos</t>
  </si>
  <si>
    <t>Inteligência artificial / Eficiência baseada em dados / Análise preditiva</t>
  </si>
  <si>
    <t>Experiência digital do cliente</t>
  </si>
  <si>
    <t>Canais digitais / Autoatendimento</t>
  </si>
  <si>
    <t>Medição e fatura digital</t>
  </si>
  <si>
    <t>Pesquisa e desenvolvimento</t>
  </si>
  <si>
    <t>Novas tecnologias</t>
  </si>
  <si>
    <t>Parcerias com universidades e startups</t>
  </si>
  <si>
    <t>Segurança da informação</t>
  </si>
  <si>
    <t>Proteção de dados / Privacidade / Cybersegurança / Continuidade tecnológica</t>
  </si>
  <si>
    <t>7. Prosperidade Compartilhada</t>
  </si>
  <si>
    <t>Universalização</t>
  </si>
  <si>
    <t>Universalização e metas de cobertura</t>
  </si>
  <si>
    <t>Investimento em infraestrutura</t>
  </si>
  <si>
    <t>Volume de investimentos</t>
  </si>
  <si>
    <t>Legado e impacto</t>
  </si>
  <si>
    <t>Benefícios do saneamento (saúde, educação, imoveis, socieconomico, etc)</t>
  </si>
  <si>
    <t>Emprego e renda</t>
  </si>
  <si>
    <t>Geração de empregos / Contratação local / Capacitação profissional</t>
  </si>
  <si>
    <t>Cadeia de valor</t>
  </si>
  <si>
    <t>Desenvolvimento de fornecedores / Fornecedores locais / Compras responsáveis</t>
  </si>
  <si>
    <t>#</t>
  </si>
  <si>
    <t>Domínio de risco</t>
  </si>
  <si>
    <t>Risk tracking (risco primário)</t>
  </si>
  <si>
    <t>Severidade</t>
  </si>
  <si>
    <t>Risco secundário</t>
  </si>
  <si>
    <t>Por que esse de-para</t>
  </si>
  <si>
    <t>Exemplo de notícia que se enquadra no risco e no subtema</t>
  </si>
  <si>
    <t>Origem do exemplo</t>
  </si>
  <si>
    <t>Validação Aegea (concorda S/N)</t>
  </si>
  <si>
    <t>Ajuste proposto pela área</t>
  </si>
  <si>
    <t>—</t>
  </si>
  <si>
    <t>Sem enquadramento</t>
  </si>
  <si>
    <t>Narrativa institucional. Não existe risco corporativo equivalente entre os 32 clusters. A ausência é deliberada, não é lacuna de mapeamento.</t>
  </si>
  <si>
    <t>Não se aplica. Notícia negativa sobre conselho ou alta administração é registrada em Ética e conduta ou em Acionistas, que têm cluster de risco.</t>
  </si>
  <si>
    <t>Riscos Geopolíticos e Estratégicos</t>
  </si>
  <si>
    <t>Gestão de Portfólio e Estrutura de Capital</t>
  </si>
  <si>
    <t>Alto</t>
  </si>
  <si>
    <t>Integridade das Informações ao Mercado</t>
  </si>
  <si>
    <t>Movimento de composição acionária e de controle atinge primeiro a estrutura de capital e o portfólio, antes de qualquer outro eixo.</t>
  </si>
  <si>
    <t>Negociação de venda de participação de acionista relevante do grupo, com especulação de mudança de controle em veículo econômico.</t>
  </si>
  <si>
    <t>Exemplo típico (premissa Peers)</t>
  </si>
  <si>
    <t>Legal e Regulatório</t>
  </si>
  <si>
    <t>Moderado</t>
  </si>
  <si>
    <t>Gestão de Contratos e Terceiros</t>
  </si>
  <si>
    <t>Descumprimento de contrato de concessão é evento regulatório, com sanção e risco de caducidade. O dano se materializa no eixo legal.</t>
  </si>
  <si>
    <t>Agência reguladora notifica a concessionária por não atingir metas de cobertura previstas no contrato, com abertura de processo sancionador.</t>
  </si>
  <si>
    <t>Assunção de novos negócios</t>
  </si>
  <si>
    <t>Revisão e prorrogação tramitam no poder concedente e no regulador, mesmo quando a motivação é comercial.</t>
  </si>
  <si>
    <t>Câmara municipal discute aditivo de prorrogação do contrato e vereadores pedem suspensão da assinatura.</t>
  </si>
  <si>
    <t>Contingências e Provisões</t>
  </si>
  <si>
    <t>Pleito de reequilíbrio é disputa regulatória, com desdobramento em provisão quando vira litígio.</t>
  </si>
  <si>
    <t>Prefeitura contesta publicamente o pleito de reequilíbrio apresentado pela concessionária e aciona a agência reguladora.</t>
  </si>
  <si>
    <t>Instabilidade Política / Econômica</t>
  </si>
  <si>
    <t>Estabilidade das regras do contrato. Tangencia instabilidade política quando a origem é troca de governo.</t>
  </si>
  <si>
    <t>Nova gestão municipal anuncia revisão do contrato de concessão assinado pela gestão anterior.</t>
  </si>
  <si>
    <t>Relações Institucionais e Governamentais</t>
  </si>
  <si>
    <t>Ato do regulador contra a empresa é risco legal. A relação institucional com a agência fica como leitura secundária.</t>
  </si>
  <si>
    <t>Agência reguladora abre fiscalização extraordinária após série de interrupções de abastecimento em município atendido.</t>
  </si>
  <si>
    <t>Riscos com Finanças e Contabilidade</t>
  </si>
  <si>
    <t>Multa aplicada e processo em curso são passivo mensurável. Entram pelo eixo de contingência e provisão.</t>
  </si>
  <si>
    <t>Concessionária é multada pelo regulador por descumprimento de prazo de atendimento e recorre da decisão.</t>
  </si>
  <si>
    <t>Práticas Ilegais ou Antiéticas</t>
  </si>
  <si>
    <t>Conduta individual ou corporativa questionada. Núcleo do risco de integridade.</t>
  </si>
  <si>
    <t>Reportagem aponta suposto conflito de interesse entre executivo da concessionária e fornecedor contratado.</t>
  </si>
  <si>
    <t>Investigação formal, delação e acordo de leniência. O desdobramento financeiro aparece em provisão.</t>
  </si>
  <si>
    <t>Ministério Público instaura inquérito sobre contratação de obra em SPE do grupo.</t>
  </si>
  <si>
    <t>Integridade das Demonstrações Financeiras</t>
  </si>
  <si>
    <t>Falha de controle interno é a causa-raiz típica do evento de integridade.</t>
  </si>
  <si>
    <t>Auditoria interna identifica fraude em processo de compras e o caso chega à imprensa antes do comunicado da empresa.</t>
  </si>
  <si>
    <t>Ressalva de auditoria e republicação de demonstração atacam diretamente a integridade contábil.</t>
  </si>
  <si>
    <t>Auditoria externa emite ressalva sobre reconhecimento de receita nas demonstrações do grupo.</t>
  </si>
  <si>
    <t>Narrativa de posicionamento institucional. Sem risco corporativo equivalente na matriz.</t>
  </si>
  <si>
    <t>Não se aplica. Crítica ao modelo privado de operação é registrada em Debate público versus privado.</t>
  </si>
  <si>
    <t>Mudança de política setorial altera as regras do negócio e tem origem política, não operacional.</t>
  </si>
  <si>
    <t>Governo federal sinaliza mudança na regra de financiamento do saneamento e analistas apontam efeito sobre concessionárias privadas.</t>
  </si>
  <si>
    <t>Patrocínios institucionais</t>
  </si>
  <si>
    <t>Patrocínio a ente público, evento ou veículo. Risco residual de leitura como influência indevida.</t>
  </si>
  <si>
    <t>Patrocínio de festival, carnaval e réveillon citado em veículos locais, incluindo agradecimento de locutor de rádio pelo apoio ao programa. Trinta e três ocorrências no lote auditado de janeiro.</t>
  </si>
  <si>
    <t>Base jan/2026 (Clipei)</t>
  </si>
  <si>
    <t>Relações com as Comunidades</t>
  </si>
  <si>
    <t>Debate ideológico sobre privatização do saneamento. Vetor político, com repercussão comunitária.</t>
  </si>
  <si>
    <t>Artigo de opinião defende reestatização do serviço e cita a concessionária como exemplo de fracasso da concessão.</t>
  </si>
  <si>
    <t>CPI e ação judicial contra a concessão são instrumento jurídico com motor político.</t>
  </si>
  <si>
    <t>Câmara municipal aprova abertura de CPI para investigar a execução do contrato de concessão.</t>
  </si>
  <si>
    <t>Alteração do marco é decisão do Legislativo. Vira risco legal quando a norma já está vigente e passa a obrigar.</t>
  </si>
  <si>
    <t>Proposta em tramitação no Congresso flexibiliza metas do Marco Legal e reportagem cita a concessionária entre as afetadas.</t>
  </si>
  <si>
    <t>Subtema de relacionamento institucional. O ato sancionatório do regulador fica em Fiscalização regulatória, para não duplicar.</t>
  </si>
  <si>
    <t>Troca da diretoria da agência reguladora estadual é noticiada com menção às concessões sob fiscalização.</t>
  </si>
  <si>
    <t>Agenda Associações (Políticas setoriais)</t>
  </si>
  <si>
    <t>Atuação associativa é posicionamento setorial coletivo. Risco de leitura como defesa de interesse contra o usuário.</t>
  </si>
  <si>
    <t>Associação setorial divulga nota contra mudança na regra tarifária e é acusada de representar interesse das concessionárias.</t>
  </si>
  <si>
    <t>Abastecimento de água</t>
  </si>
  <si>
    <t>Riscos Operacionais</t>
  </si>
  <si>
    <t>Entrega de água e tratamento de esgoto</t>
  </si>
  <si>
    <t>Critico</t>
  </si>
  <si>
    <t>Falta de água é o fato reputacional mais recorrente do setor e aciona diretamente o risco Crítico de entrega.</t>
  </si>
  <si>
    <t>Falta de água em bairros atendidos pela concessionária, com reclamação de moradores em veículo local. Na base de janeiro, parte desses registros estava rotulada pela clipadora como fato relevante.</t>
  </si>
  <si>
    <t>Integridade e Confiabilidade dos Ativos</t>
  </si>
  <si>
    <t>Gestão ESG e Sustentabilidade</t>
  </si>
  <si>
    <t>Índice de perdas e furto são lidos como falha de confiabilidade do ativo e como desperdício de recurso natural.</t>
  </si>
  <si>
    <t>Furto de hidrômetro em bairro, registro presente na base de janeiro e também rotulado como fato relevante.</t>
  </si>
  <si>
    <t>Falha estrutural de ativo crítico, com desabastecimento e dano a terceiro ao mesmo tempo.</t>
  </si>
  <si>
    <t>Rompimento de adutora deixa municípios sem água e provoca alagamento em via pública.</t>
  </si>
  <si>
    <t>Riscos com Stakeholders e novos negócios</t>
  </si>
  <si>
    <t>Gestão de Crises</t>
  </si>
  <si>
    <t>Único subtema que endereça diretamente o cluster de Gestão de Crises, que é Crítico. Ver aba Pontos de atenção.</t>
  </si>
  <si>
    <t>Após mais de 48 horas de desabastecimento, a imprensa questiona a existência e a efetividade do plano de contingência da concessionária.</t>
  </si>
  <si>
    <t>Qualidade da água</t>
  </si>
  <si>
    <t>Saúde e Segurança</t>
  </si>
  <si>
    <t>Qualidade da água combina saúde pública e prova técnica. Severidade máxima na entrega.</t>
  </si>
  <si>
    <t>Laudo de vigilância sanitária aponta água fora do padrão de potabilidade em ponto da rede de distribuição.</t>
  </si>
  <si>
    <t>Gestão de Licenças</t>
  </si>
  <si>
    <t>Falha ou atraso na divulgação converte evento técnico em suspeita de ocultação de informação.</t>
  </si>
  <si>
    <t>Reportagem aponta atraso na publicação dos resultados de análise de qualidade da água exigidos por norma.</t>
  </si>
  <si>
    <t>Aciona vigilância sanitária e tem potencial de dano irreversível à licença social de operar.</t>
  </si>
  <si>
    <t>Moradores relatam água turva e com odor; vigilância sanitária coleta amostras e o caso vira pauta regional.</t>
  </si>
  <si>
    <t>Cobertura e falha de coleta são o núcleo do risco Crítico de entrega.</t>
  </si>
  <si>
    <t>Bairro segue sem rede de esgoto apesar da meta contratual e moradores cobram a concessionária em audiência pública.</t>
  </si>
  <si>
    <t>Meio ambiente operacional</t>
  </si>
  <si>
    <t>Tratamento inadequado é simultaneamente falha de entrega e poluição.</t>
  </si>
  <si>
    <t>Estação de tratamento opera abaixo da capacidade e esgoto sem tratamento chega a corpo hídrico.</t>
  </si>
  <si>
    <t>Lançamento irregular e extravasamento</t>
  </si>
  <si>
    <t>Poluição local com autuação ambiental provável. O dano é ambiental antes de ser de serviço.</t>
  </si>
  <si>
    <t>Extravasamento de esgoto em via pública gera autuação do órgão ambiental estadual.</t>
  </si>
  <si>
    <t>Impacto ambiental visível e de apelo público alto, em especial no litoral.</t>
  </si>
  <si>
    <t>Boletim de balneabilidade da Fepam replicado por dezenas de portais do Rio Grande do Sul. Maior bloco unitário do lote auditado de janeiro, 50 títulos, hoje rotulados como licença ambiental.</t>
  </si>
  <si>
    <t>Odor e incômodo</t>
  </si>
  <si>
    <t>Riscos ESG</t>
  </si>
  <si>
    <t>Incômodo de vizinhança. O dano se materializa na relação com a comunidade do entorno.</t>
  </si>
  <si>
    <t>Moradores do entorno de estação elevatória reclamam de mau cheiro recorrente e acionam a prefeitura.</t>
  </si>
  <si>
    <t>Riscos em Investimentos de Capital</t>
  </si>
  <si>
    <t>Desvio de custo e de prazo de obra remete à gestão de contratos e de terceiros.</t>
  </si>
  <si>
    <t>Tribunal de contas aponta sobrepreço e atraso em obra de saneamento executada por terceiro contratado.</t>
  </si>
  <si>
    <t>Acidente em obra com vítima ou dano patrimonial a terceiro é evento de saúde e segurança.</t>
  </si>
  <si>
    <t>Vala de obra sem sinalização provoca acidente com motociclista; o serviço era executado por empresa terceirizada.</t>
  </si>
  <si>
    <t>Gestão Ambiental em Projetos e Obras</t>
  </si>
  <si>
    <t>Execução de capex. Atraso de expansão também tem leitura de meta contratual.</t>
  </si>
  <si>
    <t>Cronograma de expansão da rede não é cumprido e a prefeitura cobra a concessionária publicamente.</t>
  </si>
  <si>
    <t>Falha de recomposição é a reclamação de obra mais frequente e costuma ser responsabilidade do terceiro executor.</t>
  </si>
  <si>
    <t>Buracos deixados após obra da concessionária permanecem meses sem recomposição e viram pauta de veículo local.</t>
  </si>
  <si>
    <t>Manutenção, interdições e transtornos urbanos</t>
  </si>
  <si>
    <t>Transtorno urbano é o canal direto de deterioração da relação com a comunidade.</t>
  </si>
  <si>
    <t>Interdição de avenida para manutenção de rede gera congestionamento e reclamação de comerciantes.</t>
  </si>
  <si>
    <t>Canais de atendimento</t>
  </si>
  <si>
    <t>Riscos com Clientes</t>
  </si>
  <si>
    <t>Regularidade, Atendimento e Satisfação</t>
  </si>
  <si>
    <t>Disponibilidade e tempo de resposta dos canais. Dano registrado no risco com clientes.</t>
  </si>
  <si>
    <t>Reportagem mostra tempo de espera no call center durante episódio de falta de água.</t>
  </si>
  <si>
    <t>Qualidade e resolutividade do atendimento prestado.</t>
  </si>
  <si>
    <t>Cliente relata três meses sem solução para vazamento na calçada, mesmo com protocolo aberto.</t>
  </si>
  <si>
    <t>Órgãos de defesa ao cliente (Ouvidoria, Procon, Reclame Aqui)</t>
  </si>
  <si>
    <t>Acionamento de órgão de defesa é o indicador externo do risco com clientes.</t>
  </si>
  <si>
    <t>Procon notifica a concessionária após aumento das reclamações sobre cobrança e interrupção de serviço.</t>
  </si>
  <si>
    <t>Erro de medição é a origem da maior parte da contestação de conta.</t>
  </si>
  <si>
    <t>Moradores recebem conta com consumo estimado por falta de leitura do hidrômetro.</t>
  </si>
  <si>
    <t>Contestação de fatura. Vira risco regulatório quando a crítica recai sobre a tarifa homologada.</t>
  </si>
  <si>
    <t>Série de contas com valor muito acima da média vira pauta em veículo local e gera mutirão do Procon.</t>
  </si>
  <si>
    <t>Gestão de Crédito e Inadimplência</t>
  </si>
  <si>
    <t>Corte em serviço essencial é o enquadramento típico de direito à água, com alta sensibilidade comunitária.</t>
  </si>
  <si>
    <t>Corte de abastecimento em residência com morador em tratamento de saúde gera ação judicial e repercussão local.</t>
  </si>
  <si>
    <t>Invasão e vandalismo em ativo operacional. Não existe cluster de segurança patrimonial na matriz.</t>
  </si>
  <si>
    <t>Furto de cabos em estação de tratamento interrompe a operação e provoca desabastecimento.</t>
  </si>
  <si>
    <t>Reajuste é ato regulatório homologado. A repercussão pública é leitura secundária.</t>
  </si>
  <si>
    <t>Agência homologa reajuste anual e vereadores pedem suspensão do aumento na Justiça.</t>
  </si>
  <si>
    <t>Desenho da tarifa e subsídio cruzado são decisão regulatória.</t>
  </si>
  <si>
    <t>Reportagem compara a tarifa da concessionária com a de operadores públicos vizinhos e questiona a diferença.</t>
  </si>
  <si>
    <t>Divulgação de resultado ao mercado. O risco é de integridade da informação prestada.</t>
  </si>
  <si>
    <t>Divulgação de resultado trimestral com queda de margem é destacada pela imprensa econômica.</t>
  </si>
  <si>
    <t>Guidance não entregue é risco de credibilidade junto a investidores e credores.</t>
  </si>
  <si>
    <t>Analistas apontam que a companhia não executou o capex projetado para o ano.</t>
  </si>
  <si>
    <t>Liquidez, Gestão da Dívida e Quebra de Covenants de financiamentos</t>
  </si>
  <si>
    <t>Nível de alavancagem é o indicador central do risco de liquidez.</t>
  </si>
  <si>
    <t>Reportagem destaca alavancagem do grupo acima do histórico e concentração de vencimentos no curto prazo.</t>
  </si>
  <si>
    <t>Capacidade e disposição dos acionistas de aportar é decisão de portfólio antes de ser de caixa.</t>
  </si>
  <si>
    <t>Notícia sobre necessidade de novo aporte dos acionistas em SPE do grupo para sustentar o plano de investimento.</t>
  </si>
  <si>
    <t>Política de distribuição afeta estrutura de capital e caixa disponível para investimento.</t>
  </si>
  <si>
    <t>Distribuição de dividendos é questionada diante do volume de investimento contratado ainda não executado.</t>
  </si>
  <si>
    <t>Emissão malsucedida ou com custo acima do esperado sinaliza deterioração de crédito.</t>
  </si>
  <si>
    <t>Emissão de debêntures sai com taxa acima da referência e o mercado lê como piora da percepção de crédito.</t>
  </si>
  <si>
    <t>Decisão de estrutura de capital e de portfólio dos acionistas.</t>
  </si>
  <si>
    <t>Imprensa econômica noticia adiamento do IPO do grupo por condição de mercado.</t>
  </si>
  <si>
    <t>Rebaixamento encarece a dívida e pode acionar cláusula contratual.</t>
  </si>
  <si>
    <t>Agência de rating coloca a companhia em perspectiva negativa e cita alavancagem e capex.</t>
  </si>
  <si>
    <t>Quebra de covenant é o evento nomeado no próprio cluster de risco.</t>
  </si>
  <si>
    <t>Reportagem aponta risco de quebra de covenant financeiro em contrato de financiamento do grupo.</t>
  </si>
  <si>
    <t>Disputa de leilão, com risco residual de conduta concorrencial, hoje sem subtema dedicado.</t>
  </si>
  <si>
    <t>Concorrente questiona na Justiça o resultado de leilão vencido pelo grupo.</t>
  </si>
  <si>
    <t>Aquisição e parceria, incluindo passivo herdado do ativo adquirido.</t>
  </si>
  <si>
    <t>Aquisição de operador regional traz passivo ambiental herdado, apontado em reportagem após o fechamento.</t>
  </si>
  <si>
    <t>Desinvestimento é decisão de portfólio, com leitura de liquidez.</t>
  </si>
  <si>
    <t>Negociação de venda de participação em concessão é noticiada antes do anúncio oficial ao mercado.</t>
  </si>
  <si>
    <t>Nova geografia significa novo poder concedente e novo ambiente político.</t>
  </si>
  <si>
    <t>Entrada em novo estado gera reação de lideranças locais contrárias ao modelo de concessão.</t>
  </si>
  <si>
    <t>Novos negócios</t>
  </si>
  <si>
    <t>Tratamento de resíduos sólidos urbanos (RSU)</t>
  </si>
  <si>
    <t>Linha de resíduos sólidos urbanos tem cluster próprio na matriz.</t>
  </si>
  <si>
    <t>Atraso na coleta de resíduos em município atendido pelo grupo gera acúmulo de lixo e reclamação.</t>
  </si>
  <si>
    <t>Cobrança da taxa é o ponto de atrito público da linha de resíduos.</t>
  </si>
  <si>
    <t>Cobrança da taxa de lixo junto à conta de água é contestada por moradores e por vereadores.</t>
  </si>
  <si>
    <t>Novas Tendências e Futuro</t>
  </si>
  <si>
    <t>Linha emergente. Hoje mais tendência de mercado do que operação em escala.</t>
  </si>
  <si>
    <t>Projeto de reúso anunciado não sai do papel e é cobrado pela imprensa local dois anos depois.</t>
  </si>
  <si>
    <t>Programa social contestado como propaganda ou como compensação por serviço mal prestado.</t>
  </si>
  <si>
    <t>Programa social da concessionária é criticado por liderança comunitária como compensação por falhas no abastecimento.</t>
  </si>
  <si>
    <t>Acesso econômico ao serviço. Falha de alcance da tarifa social vira questão comunitária.</t>
  </si>
  <si>
    <t>Reportagem mostra famílias elegíveis que não conseguem acessar a tarifa social no município.</t>
  </si>
  <si>
    <t>Processo de cadastro e barreira de acesso ao benefício, operados pelo canal de atendimento.</t>
  </si>
  <si>
    <t>Exigência de documentos para cadastro na tarifa social é apontada como barreira de acesso.</t>
  </si>
  <si>
    <t>Política de renegociação de débito, que é gestão de crédito antes de ser atendimento.</t>
  </si>
  <si>
    <t>Campanha de renegociação é criticada pelos encargos cobrados no parcelamento da dívida.</t>
  </si>
  <si>
    <t>Prêmios, Projetos e incentivos à comunidade</t>
  </si>
  <si>
    <t>Investimento social privado, com risco residual de prêmio ou projeto contestado.</t>
  </si>
  <si>
    <t>Prêmio recebido pela concessionária é contestado por entidade local diante do volume de reclamações de serviço.</t>
  </si>
  <si>
    <t>Programa educacional junto à comunidade e à rede escolar.</t>
  </si>
  <si>
    <t>Programa de educação ambiental em escolas é questionado como publicidade institucional disfarçada.</t>
  </si>
  <si>
    <t>Gestão do Capital Humano</t>
  </si>
  <si>
    <t>Processo seletivo e contratação. Dano registrado em capital humano.</t>
  </si>
  <si>
    <t>Processo seletivo é questionado por candidatos em veículo local por falta de transparência nos critérios.</t>
  </si>
  <si>
    <t>Retenção e desenvolvimento de talento.</t>
  </si>
  <si>
    <t>Reportagem aponta rotatividade alta na operação regional do grupo.</t>
  </si>
  <si>
    <t>Metas de diversidade na liderança estão vinculadas ao custo do sustainability-linked bond, o que dá efeito financeiro ao tema.</t>
  </si>
  <si>
    <t>Relatório aponta meta de mulheres na liderança abaixo do compromisso público assumido na emissão.</t>
  </si>
  <si>
    <t>Condição de trabalho e jornada. Núcleo do risco de saúde e segurança.</t>
  </si>
  <si>
    <t>Sindicato denuncia condições de trabalho e jornada em frente de obra da concessionária.</t>
  </si>
  <si>
    <t>Clima e cultura. Afeta atração e exposição em plataforma de avaliação de empregador.</t>
  </si>
  <si>
    <t>Relatos de clima organizacional em plataforma de avaliação de empresas viram pauta em veículo de negócios.</t>
  </si>
  <si>
    <t>Acidente com empregado próprio ou de terceiro, com possível responsabilidade solidária.</t>
  </si>
  <si>
    <t>Acidente fatal com trabalhador terceirizado em obra de rede é noticiado e gera interdição do Ministério do Trabalho.</t>
  </si>
  <si>
    <t>Paralisação sindical pode interromper a entrega do serviço, o que conecta ao cluster Crítico.</t>
  </si>
  <si>
    <t>Greve de trabalhadores ameaça a continuidade do abastecimento em município atendido.</t>
  </si>
  <si>
    <t>Relacionamento com terceiros</t>
  </si>
  <si>
    <t>Gestão da cadeia de terceiros, inclusive responsabilidade solidária trabalhista.</t>
  </si>
  <si>
    <t>Empresa terceirizada deixa de pagar salários e a concessionária é acionada por responsabilidade solidária.</t>
  </si>
  <si>
    <t>Proteção de manancial é condição de operação e de manutenção da licença.</t>
  </si>
  <si>
    <t>Ocupação irregular em área de manancial usado na captação é noticiada e a concessionária é cobrada por omissão.</t>
  </si>
  <si>
    <t>Emissário submarino e qualidade da água costeira, com forte apelo público.</t>
  </si>
  <si>
    <t>Emissário submarino é apontado por entidade ambiental como fonte de poluição costeira.</t>
  </si>
  <si>
    <t>Meio ambiente e clima</t>
  </si>
  <si>
    <t>Externalidades e Mudanças Climáticas</t>
  </si>
  <si>
    <t>Disponibilidade hídrica sob estresse climático é causa direta do risco Crítico de entrega.</t>
  </si>
  <si>
    <t>Estiagem reduz o nível do manancial e a concessionária anuncia rodízio no abastecimento.</t>
  </si>
  <si>
    <t>Gestão de Insumos</t>
  </si>
  <si>
    <t>Energia é o principal insumo de custo da operação de saneamento.</t>
  </si>
  <si>
    <t>Aumento do custo de energia é citado como pressão sobre a operação e como argumento em pleito tarifário.</t>
  </si>
  <si>
    <t>Pegada própria e metas de neutralidade, com risco de alegação sem lastro.</t>
  </si>
  <si>
    <t>Relatório aponta divergência entre a meta de neutralidade divulgada e a emissão efetivamente reportada.</t>
  </si>
  <si>
    <t>Seca, enchente e evento extremo atingindo diretamente a operação.</t>
  </si>
  <si>
    <t>Enchente danifica estação de tratamento e interrompe o abastecimento por vários dias.</t>
  </si>
  <si>
    <t>Capacidade de adaptação da infraestrutura ao cenário climático projetado.</t>
  </si>
  <si>
    <t>Especialistas afirmam em reportagem que a infraestrutura não está preparada para evento extremo recorrente.</t>
  </si>
  <si>
    <t>Impacto em ecossistema decorre majoritariamente de obra e de condicionante de licença.</t>
  </si>
  <si>
    <t>Supressão de vegetação para obra de rede gera questionamento de órgão ambiental e de entidade local.</t>
  </si>
  <si>
    <t>Cluster próprio na matriz. Licença vencida ou condicionante descumprida paralisa obra e operação.</t>
  </si>
  <si>
    <t>Licenciamento do emissário do Rio Tramandaí, único caso de licenciamento efetivo entre os títulos rotulados como licença ambiental em janeiro.</t>
  </si>
  <si>
    <t>Linha emergente de valorização de subproduto, ainda em estágio de anúncio.</t>
  </si>
  <si>
    <t>Projeto de biometano a partir de estação de tratamento é anunciado e depois cobrado por atraso.</t>
  </si>
  <si>
    <t>Destinação de lodo é passivo ambiental recorrente da operação de estação de tratamento.</t>
  </si>
  <si>
    <t>Destinação irregular de lodo de estação de tratamento é autuada pelo órgão ambiental.</t>
  </si>
  <si>
    <t>Agenda de economia circular, com compromisso público sujeito a cobrança.</t>
  </si>
  <si>
    <t>Compromisso público de economia circular é cobrado por entidade ambiental sem evidência de avanço.</t>
  </si>
  <si>
    <t>Adoção e Efetividade de Novas Tecnologias</t>
  </si>
  <si>
    <t>Tecnologia de monitoramento aplicada à operação. O risco é de adoção e efetividade.</t>
  </si>
  <si>
    <t>Falha no sistema de monitoramento retarda a identificação de vazamento de grande porte.</t>
  </si>
  <si>
    <t>Gestão do ciclo de vida do ativo. Núcleo do risco de confiabilidade.</t>
  </si>
  <si>
    <t>Reportagem aponta rede antiga sem plano de substituição em município com rompimentos recorrentes.</t>
  </si>
  <si>
    <t>Instrumentação de rede, cuja falha aparece como ineficiência operacional.</t>
  </si>
  <si>
    <t>Investimento em telemetria é anunciado após críticas ao índice de perdas, sem prazo definido.</t>
  </si>
  <si>
    <t>Adoção e efetividade de automação.</t>
  </si>
  <si>
    <t>Falha em sistema automatizado de dosagem de produto químico é apontada em episódio de qualidade da água.</t>
  </si>
  <si>
    <t>Adoção de IA, com risco de promessa não entregue e de uso questionado.</t>
  </si>
  <si>
    <t>Anúncio de uso de inteligência artificial para prever vazamentos é cobrado por falta de resultado mensurável.</t>
  </si>
  <si>
    <t>Canal digital é atendimento antes de ser tecnologia. Indisponibilidade vira reclamação de cliente.</t>
  </si>
  <si>
    <t>Aplicativo e site ficam fora do ar durante episódio de falta de água, com reclamação em redes sociais.</t>
  </si>
  <si>
    <t>Telemetria de consumo e fatura digital. Falha de leitura remota recai sobre o cliente.</t>
  </si>
  <si>
    <t>Erro em leitura remota gera cobrança indevida a um conjunto de clientes e obriga reemissão de faturas.</t>
  </si>
  <si>
    <t>Agenda de inovação e posicionamento de futuro.</t>
  </si>
  <si>
    <t>Projeto piloto de nova tecnologia de tratamento é anunciado em feira do setor.</t>
  </si>
  <si>
    <t>Ecossistema de inovação, com exposição baixa e majoritariamente positiva.</t>
  </si>
  <si>
    <t>Parceria com universidade para pesquisa em perdas é anunciada e depois cobrada por resultado.</t>
  </si>
  <si>
    <t>Proteção de dados / Privacidade / Cybersegurança / Continuidade</t>
  </si>
  <si>
    <t>Riscos de Tecnologia</t>
  </si>
  <si>
    <t>Cybersecurity e Continuidade Operacional</t>
  </si>
  <si>
    <t>Proteção de Dados e informações / Proteção de Dados – LGPD</t>
  </si>
  <si>
    <t>Subtema único atendendo três riscos distintos, sendo um deles Crítico. Recomendação de desdobramento antes do sign-off, na aba Pontos de atenção.</t>
  </si>
  <si>
    <t>Vazamento de dados cadastrais de clientes é noticiado e a ANPD é acionada.</t>
  </si>
  <si>
    <t>Meta de universalização é obrigação contratual e regulatória antes de ser promessa institucional.</t>
  </si>
  <si>
    <t>Relatório aponta município fora da trajetória da meta de universalização prevista para 2033.</t>
  </si>
  <si>
    <t>Volume e ritmo de capex. Decisão de alocação de portfólio.</t>
  </si>
  <si>
    <t>Investimento anunciado não é executado no ritmo prometido, conforme apontamento de tribunal de contas.</t>
  </si>
  <si>
    <t>Benefícios do saneamento (saúde, educação, imóveis, socioeconômico)</t>
  </si>
  <si>
    <t>Narrativa de impacto positivo. Sem risco corporativo equivalente na matriz.</t>
  </si>
  <si>
    <t>Não se aplica. Crítica ao alcance do benefício é registrada em Universalização e metas de cobertura.</t>
  </si>
  <si>
    <t>Emprego local é vetor de prosperidade compartilhada junto ao município, por isso o dano é comunitário.</t>
  </si>
  <si>
    <t>Promessa de geração de empregos locais não cumprida é cobrada por liderança municipal em audiência.</t>
  </si>
  <si>
    <t>Cadeia de suprimentos, incluindo risco de integridade do fornecedor.</t>
  </si>
  <si>
    <t>Fornecedor local denuncia atraso de pagamento pela concessionária em veículo regional.</t>
  </si>
  <si>
    <t>Drenagem urbana e águas pluviais</t>
  </si>
  <si>
    <t>Fora do escopo contratual na maior parte das concessões, mas o alagamento é atribuído à Aegea. Risco de atribuição indevida, sem dono na matriz.</t>
  </si>
  <si>
    <t>Alagamento após chuva forte é atribuído à concessionária em reportagem, embora a drenagem seja responsabilidade do município.</t>
  </si>
  <si>
    <t>Risk tracking</t>
  </si>
  <si>
    <t>Issue RepRisk correspondente</t>
  </si>
  <si>
    <t>Risk Cluster</t>
  </si>
  <si>
    <t>Risk</t>
  </si>
  <si>
    <t>Severity</t>
  </si>
  <si>
    <t>Subtemas atribuídos (primário)</t>
  </si>
  <si>
    <t>Subtemas atribuídos (secundário)</t>
  </si>
  <si>
    <t>Proteção de Dados e informações</t>
  </si>
  <si>
    <t>Proteção de Dados – LGPD</t>
  </si>
  <si>
    <t>Cobertura de Seguros</t>
  </si>
  <si>
    <t>Tipo</t>
  </si>
  <si>
    <t>Ponto</t>
  </si>
  <si>
    <t>Evidência</t>
  </si>
  <si>
    <t>Criticidade</t>
  </si>
  <si>
    <t>Recomendação</t>
  </si>
  <si>
    <t>Taxonomia</t>
  </si>
  <si>
    <t>Segurança da informação é um subtema para três riscos</t>
  </si>
  <si>
    <t>Cybersecurity é Crítico, Proteção de Dados é Alto e LGPD é Moderado. A taxonomia funde os três em um subtema só.</t>
  </si>
  <si>
    <t>Alta</t>
  </si>
  <si>
    <t>Desdobrar em três subtemas antes do sign-off. Enquanto estiver fundido, o painel não separa o risco Crítico do Moderado, e Proteção de Dados e LGPD ficam com zero subtema primário.</t>
  </si>
  <si>
    <t>Método</t>
  </si>
  <si>
    <t>Gestão de Crises recebe um único subtema</t>
  </si>
  <si>
    <t>Risco Crítico atendido apenas por Plano de contingência e redundância. Crise atravessa os outros 31 riscos.</t>
  </si>
  <si>
    <t>Tratar crise como atributo do evento, não como destino de subtema. Caso contrário o risco mais severo fica subdimensionado no painel.</t>
  </si>
  <si>
    <t>Concentração</t>
  </si>
  <si>
    <t>Legal e Regulatório concentra o maior número de subtemas e é Moderado</t>
  </si>
  <si>
    <t>Nove subtemas apontam para um risco de severidade média. É a maior concentração da taxonomia.</t>
  </si>
  <si>
    <t>Checar com Riscos. Ou a taxonomia superdimensiona o eixo regulatório, ou a matriz subdimensiona o risco. O painel vai gerar alerta de volume alto num risco de segunda ordem.</t>
  </si>
  <si>
    <t>Lacuna</t>
  </si>
  <si>
    <t>Integridade estrutural de ativo crítico</t>
  </si>
  <si>
    <t>Integridade e Confiabilidade dos Ativos é Alto e não tem subtema cobrindo integridade de barragem ou reservatório.</t>
  </si>
  <si>
    <t>Criar subtema sob Eficiência Operacional, conectado a Eventos Climáticos.</t>
  </si>
  <si>
    <t>Produtos químicos de tratamento</t>
  </si>
  <si>
    <t>Gestão de Insumos ficou com um único subtema, energia. O insumo de maior criticidade operacional do setor não existe na taxonomia.</t>
  </si>
  <si>
    <t>Média</t>
  </si>
  <si>
    <t>Criar subtema de insumos de tratamento sob Eficiência Operacional.</t>
  </si>
  <si>
    <t>Conduta concorrencial</t>
  </si>
  <si>
    <t>Nenhum subtema dedicado. O ponto mais próximo é Novos Negócios e Leilões.</t>
  </si>
  <si>
    <t>Criar subtema sob Integridade ou ampliar o escopo de Novos Negócios e Leilões.</t>
  </si>
  <si>
    <t>Cobertura</t>
  </si>
  <si>
    <t>Cobertura de Seguros fica sem nenhum subtema</t>
  </si>
  <si>
    <t>Risco Moderado sem expressão pública, salvo em sinistro de grande porte.</t>
  </si>
  <si>
    <t>Baixa</t>
  </si>
  <si>
    <t>Registrar a ausência como decisão consciente, para não parecer falha de mapeamento.</t>
  </si>
  <si>
    <t>Escopo</t>
  </si>
  <si>
    <t>Drenagem urbana sem dono na matriz</t>
  </si>
  <si>
    <t>Fora do escopo contratual na maior parte das concessões, mas o alagamento é atribuído à Aegea.</t>
  </si>
  <si>
    <t>Tratar como risco de atribuição indevida, com resposta preparada. Não forçar enquadramento.</t>
  </si>
  <si>
    <t>Dado</t>
  </si>
  <si>
    <t>Exemplos de notícia sem lastro completo na base</t>
  </si>
  <si>
    <t>Cinco linhas têm exemplo observado na base de janeiro. As demais usam formulação típica, porque a base não está reclassificada nos 104 subtemas.</t>
  </si>
  <si>
    <t>Reclassificar a amostra de janeiro nos 104 subtemas e substituir os exemplos típicos por títulos reais antes de publicar o material.</t>
  </si>
  <si>
    <t>Validação</t>
  </si>
  <si>
    <t>Atribuição não validada com a área de Riscos</t>
  </si>
  <si>
    <t>As 104 linhas são premissa Peers. A severidade é do cliente, a atribuição não.</t>
  </si>
  <si>
    <t>Rodar a validação com Riscos antes do sign-off. Colunas M e N da aba De-para.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</si>
</sst>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1"/>
      <color theme="1"/>
      <name val="Aptos Narrow"/>
      <family val="2"/>
      <charset val="1"/>
    </font>
    <font>
      <sz val="10"/>
      <name val="Arial"/>
      <family val="2"/>
    </font>
    <font>
      <b/>
      <sz val="14"/>
      <color rgb="FF0027BD"/>
      <name val="Arial"/>
      <family val="2"/>
    </font>
    <font>
      <sz val="10"/>
      <name val="Arial"/>
      <family val="2"/>
    </font>
    <font>
      <b/>
      <sz val="11"/>
      <color rgb="FF0027BD"/>
      <name val="Arial"/>
      <family val="2"/>
    </font>
    <font>
      <b/>
      <sz val="11"/>
      <color theme="1"/>
      <name val="Segoe UI"/>
      <family val="2"/>
      <charset val="1"/>
    </font>
    <font>
      <b/>
      <sz val="9"/>
      <color rgb="FFFFFFFF"/>
      <name val="Arial"/>
      <family val="2"/>
      <charset val="1"/>
    </font>
    <font>
      <sz val="11"/>
      <color theme="1"/>
      <name val="Segoe UI"/>
      <family val="2"/>
      <charset val="1"/>
    </font>
    <font>
      <sz val="11"/>
      <color rgb="FFFF0000"/>
      <name val="Aptos Narrow"/>
      <family val="2"/>
      <charset val="1"/>
    </font>
    <font>
      <b/>
      <sz val="11"/>
      <name val="Segoe UI"/>
      <family val="2"/>
      <charset val="1"/>
    </font>
    <font>
      <sz val="11"/>
      <name val="Aptos Narrow"/>
      <family val="2"/>
      <charset val="1"/>
    </font>
    <font>
      <sz val="11"/>
      <name val="Segoe UI"/>
      <family val="2"/>
      <charset val="1"/>
    </font>
    <font>
      <sz val="11"/>
      <color rgb="FFFF0000"/>
      <name val="Segoe UI"/>
      <family val="2"/>
      <charset val="1"/>
    </font>
    <font>
      <b/>
      <sz val="11"/>
      <color theme="1"/>
      <name val="Aptos"/>
      <family val="2"/>
      <charset val="1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88402966399123"/>
        <bgColor rgb="FF00CCFF"/>
      </patternFill>
    </fill>
    <fill>
      <patternFill patternType="solid">
        <fgColor rgb="FFF5F5F5"/>
        <bgColor rgb="FFF2F2F2"/>
      </patternFill>
    </fill>
    <fill>
      <patternFill patternType="solid">
        <fgColor rgb="FF0027BD"/>
        <bgColor rgb="FF333399"/>
      </patternFill>
    </fill>
    <fill>
      <patternFill patternType="solid">
        <fgColor rgb="FFF2F2F2"/>
        <bgColor rgb="FFF5F5F5"/>
      </patternFill>
    </fill>
    <fill>
      <patternFill patternType="solid">
        <fgColor rgb="FFFFF2A8"/>
        <bgColor rgb="FFFBE2C8"/>
      </patternFill>
    </fill>
    <fill>
      <patternFill patternType="solid">
        <fgColor rgb="FFFBE2C8"/>
        <bgColor rgb="FFE6E6E6"/>
      </patternFill>
    </fill>
    <fill>
      <patternFill patternType="solid">
        <fgColor rgb="FFE7F0D8"/>
        <bgColor rgb="FFE6E6E6"/>
      </patternFill>
    </fill>
    <fill>
      <patternFill patternType="solid">
        <fgColor rgb="FFDDF3EF"/>
        <bgColor rgb="FFE7F0D8"/>
      </patternFill>
    </fill>
    <fill>
      <patternFill patternType="solid">
        <fgColor rgb="FFF4C7C3"/>
        <bgColor rgb="FFFBE2C8"/>
      </patternFill>
    </fill>
  </fills>
  <borders count="7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14" fillId="4" borderId="6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horizontal="center" vertical="top"/>
    </xf>
    <xf numFmtId="0" fontId="3" fillId="5" borderId="6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3" fillId="6" borderId="6" xfId="0" applyFont="1" applyFill="1" applyBorder="1" applyAlignment="1">
      <alignment horizontal="left" vertical="top"/>
    </xf>
    <xf numFmtId="0" fontId="3" fillId="0" borderId="6" xfId="0" applyFont="1" applyBorder="1" applyAlignment="1">
      <alignment horizontal="center" vertical="top"/>
    </xf>
    <xf numFmtId="0" fontId="3" fillId="0" borderId="6" xfId="0" applyFont="1" applyBorder="1" applyAlignment="1">
      <alignment horizontal="left" vertical="top"/>
    </xf>
    <xf numFmtId="0" fontId="15" fillId="0" borderId="6" xfId="0" applyFont="1" applyBorder="1" applyAlignment="1">
      <alignment horizontal="left" vertical="top" wrapText="1"/>
    </xf>
    <xf numFmtId="0" fontId="3" fillId="7" borderId="6" xfId="0" applyFont="1" applyFill="1" applyBorder="1" applyAlignment="1">
      <alignment horizontal="center" vertical="top"/>
    </xf>
    <xf numFmtId="0" fontId="3" fillId="8" borderId="6" xfId="0" applyFont="1" applyFill="1" applyBorder="1" applyAlignment="1">
      <alignment horizontal="center" vertical="top"/>
    </xf>
    <xf numFmtId="0" fontId="15" fillId="9" borderId="6" xfId="0" applyFont="1" applyFill="1" applyBorder="1" applyAlignment="1">
      <alignment horizontal="left" vertical="top" wrapText="1"/>
    </xf>
    <xf numFmtId="0" fontId="15" fillId="10" borderId="6" xfId="0" applyFont="1" applyFill="1" applyBorder="1" applyAlignment="1">
      <alignment horizontal="center" vertical="top"/>
    </xf>
    <xf numFmtId="0" fontId="16" fillId="0" borderId="0" xfId="0" applyFont="1"/>
    <xf numFmtId="0" fontId="6" fillId="4" borderId="6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0" borderId="6" xfId="0" applyFont="1" applyBorder="1" applyAlignment="1">
      <alignment vertical="top" wrapText="1"/>
    </xf>
    <xf numFmtId="0" fontId="18" fillId="0" borderId="6" xfId="0" applyFont="1" applyBorder="1" applyAlignment="1">
      <alignment horizontal="center" vertical="top"/>
    </xf>
    <xf numFmtId="0" fontId="3" fillId="0" borderId="6" xfId="0" applyFont="1" applyBorder="1" applyAlignment="1">
      <alignment horizontal="center"/>
    </xf>
    <xf numFmtId="0" fontId="19" fillId="0" borderId="6" xfId="0" applyFont="1" applyBorder="1" applyAlignment="1">
      <alignment vertical="top" wrapText="1"/>
    </xf>
    <xf numFmtId="0" fontId="19" fillId="0" borderId="6" xfId="0" applyFont="1" applyBorder="1" applyAlignment="1">
      <alignment horizontal="center" vertical="top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top" wrapText="1"/>
    </xf>
    <xf numFmtId="0" fontId="20" fillId="2" borderId="1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21" fillId="0" borderId="0" xfId="0" applyFont="1"/>
    <xf numFmtId="0" fontId="20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0" fillId="3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DD3E45B-10D8-4D27-8CB3-0D3BA8AB4223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5F5"/>
      <rgbColor rgb="FFDDF3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7F0D8"/>
      <rgbColor rgb="FFFFF2A8"/>
      <rgbColor rgb="FFE6E6E6"/>
      <rgbColor rgb="FFFBE2C8"/>
      <rgbColor rgb="FFCC99FF"/>
      <rgbColor rgb="FFF4C7C3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27B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showGridLines="0" zoomScaleNormal="100" workbookViewId="0">
      <selection activeCell="A12" sqref="A12"/>
    </sheetView>
  </sheetViews>
  <sheetFormatPr defaultColWidth="8.5546875" defaultRowHeight="14.4" x14ac:dyDescent="0.3"/>
  <cols>
    <col min="1" max="1" width="135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ht="26.4" x14ac:dyDescent="0.3">
      <c r="A4" s="2" t="s">
        <v>2</v>
      </c>
    </row>
    <row r="5" spans="1:1" x14ac:dyDescent="0.3">
      <c r="A5" s="2"/>
    </row>
    <row r="6" spans="1:1" x14ac:dyDescent="0.3">
      <c r="A6" s="3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ht="26.4" x14ac:dyDescent="0.3">
      <c r="A9" s="2" t="s">
        <v>6</v>
      </c>
    </row>
    <row r="10" spans="1:1" x14ac:dyDescent="0.3">
      <c r="A10" s="2"/>
    </row>
    <row r="11" spans="1:1" x14ac:dyDescent="0.3">
      <c r="A11" s="3" t="s">
        <v>7</v>
      </c>
    </row>
    <row r="12" spans="1:1" ht="26.4" x14ac:dyDescent="0.3">
      <c r="A12" s="2" t="s">
        <v>8</v>
      </c>
    </row>
    <row r="13" spans="1:1" ht="26.4" x14ac:dyDescent="0.3">
      <c r="A13" s="2" t="s">
        <v>9</v>
      </c>
    </row>
    <row r="14" spans="1:1" ht="26.4" x14ac:dyDescent="0.3">
      <c r="A14" s="2" t="s">
        <v>10</v>
      </c>
    </row>
    <row r="15" spans="1:1" x14ac:dyDescent="0.3">
      <c r="A15" s="2"/>
    </row>
    <row r="16" spans="1:1" x14ac:dyDescent="0.3">
      <c r="A16" s="3" t="s">
        <v>11</v>
      </c>
    </row>
    <row r="17" spans="1:1" ht="26.4" x14ac:dyDescent="0.3">
      <c r="A17" s="2" t="s">
        <v>12</v>
      </c>
    </row>
    <row r="18" spans="1:1" ht="39.6" x14ac:dyDescent="0.3">
      <c r="A18" s="2" t="s">
        <v>13</v>
      </c>
    </row>
    <row r="19" spans="1:1" ht="26.4" x14ac:dyDescent="0.3">
      <c r="A19" s="2" t="s">
        <v>14</v>
      </c>
    </row>
    <row r="20" spans="1:1" x14ac:dyDescent="0.3">
      <c r="A20" s="2"/>
    </row>
    <row r="21" spans="1:1" x14ac:dyDescent="0.3">
      <c r="A21" s="3" t="s">
        <v>15</v>
      </c>
    </row>
    <row r="22" spans="1:1" x14ac:dyDescent="0.3">
      <c r="A22" s="2" t="s">
        <v>16</v>
      </c>
    </row>
    <row r="23" spans="1:1" x14ac:dyDescent="0.3">
      <c r="A23" s="2" t="s">
        <v>17</v>
      </c>
    </row>
    <row r="24" spans="1:1" x14ac:dyDescent="0.3">
      <c r="A24" s="2" t="s">
        <v>18</v>
      </c>
    </row>
    <row r="25" spans="1:1" x14ac:dyDescent="0.3">
      <c r="A25" s="2" t="s">
        <v>19</v>
      </c>
    </row>
    <row r="26" spans="1:1" x14ac:dyDescent="0.3">
      <c r="A26" s="2" t="s">
        <v>20</v>
      </c>
    </row>
    <row r="27" spans="1:1" x14ac:dyDescent="0.3">
      <c r="A27" s="2"/>
    </row>
    <row r="28" spans="1:1" x14ac:dyDescent="0.3">
      <c r="A28" s="3" t="s">
        <v>21</v>
      </c>
    </row>
    <row r="29" spans="1:1" x14ac:dyDescent="0.3">
      <c r="A29" s="2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4"/>
  <sheetViews>
    <sheetView zoomScale="85" zoomScaleNormal="85" workbookViewId="0">
      <pane ySplit="1" topLeftCell="A38" activePane="bottomLeft" state="frozen"/>
      <selection pane="bottomLeft" activeCell="E61" sqref="E61"/>
    </sheetView>
  </sheetViews>
  <sheetFormatPr defaultColWidth="8.5546875" defaultRowHeight="14.4" x14ac:dyDescent="0.3"/>
  <cols>
    <col min="1" max="1" width="49.33203125" customWidth="1"/>
    <col min="2" max="2" width="48.109375" customWidth="1"/>
    <col min="3" max="3" width="78.33203125" customWidth="1"/>
    <col min="4" max="4" width="12.5546875" customWidth="1"/>
    <col min="5" max="5" width="44.6640625" customWidth="1"/>
    <col min="6" max="6" width="54.33203125" customWidth="1"/>
    <col min="7" max="7" width="44.6640625" customWidth="1"/>
    <col min="8" max="8" width="38.6640625" customWidth="1"/>
    <col min="9" max="9" width="23.33203125" customWidth="1"/>
    <col min="10" max="11" width="31.88671875" customWidth="1"/>
  </cols>
  <sheetData>
    <row r="1" spans="1:11" ht="17.25" customHeight="1" x14ac:dyDescent="0.3">
      <c r="A1" s="4" t="s">
        <v>23</v>
      </c>
      <c r="B1" s="4" t="s">
        <v>24</v>
      </c>
      <c r="C1" s="4" t="s">
        <v>25</v>
      </c>
      <c r="D1" s="5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5"/>
      <c r="K1" s="5"/>
    </row>
    <row r="2" spans="1:11" ht="15" customHeight="1" x14ac:dyDescent="0.3">
      <c r="A2" s="7" t="s">
        <v>32</v>
      </c>
      <c r="B2" s="8" t="s">
        <v>33</v>
      </c>
      <c r="C2" s="9" t="s">
        <v>34</v>
      </c>
      <c r="D2" s="10" t="s">
        <v>35</v>
      </c>
      <c r="E2" s="9" t="s">
        <v>36</v>
      </c>
      <c r="F2" s="9"/>
      <c r="G2" s="9" t="s">
        <v>37</v>
      </c>
      <c r="H2" s="9" t="s">
        <v>38</v>
      </c>
      <c r="I2" s="9" t="s">
        <v>39</v>
      </c>
      <c r="J2" s="10"/>
      <c r="K2" s="10"/>
    </row>
    <row r="3" spans="1:11" ht="15" customHeight="1" x14ac:dyDescent="0.3">
      <c r="A3" s="7" t="s">
        <v>32</v>
      </c>
      <c r="B3" s="8" t="s">
        <v>33</v>
      </c>
      <c r="C3" s="9" t="s">
        <v>40</v>
      </c>
      <c r="D3" s="10" t="s">
        <v>35</v>
      </c>
      <c r="E3" s="9" t="s">
        <v>41</v>
      </c>
      <c r="F3" s="9"/>
      <c r="G3" s="9" t="s">
        <v>42</v>
      </c>
      <c r="H3" s="9" t="s">
        <v>43</v>
      </c>
      <c r="I3" s="9" t="s">
        <v>44</v>
      </c>
      <c r="J3" s="10"/>
      <c r="K3" s="10"/>
    </row>
    <row r="4" spans="1:11" ht="15" customHeight="1" x14ac:dyDescent="0.3">
      <c r="A4" s="7" t="s">
        <v>32</v>
      </c>
      <c r="B4" s="8" t="s">
        <v>45</v>
      </c>
      <c r="C4" s="9" t="s">
        <v>46</v>
      </c>
      <c r="D4" s="10" t="s">
        <v>47</v>
      </c>
      <c r="E4" s="9" t="s">
        <v>48</v>
      </c>
      <c r="F4" s="9"/>
      <c r="G4" s="9" t="s">
        <v>49</v>
      </c>
      <c r="H4" s="9"/>
      <c r="I4" s="9" t="s">
        <v>50</v>
      </c>
      <c r="J4" s="10"/>
      <c r="K4" s="10"/>
    </row>
    <row r="5" spans="1:11" ht="15" customHeight="1" x14ac:dyDescent="0.3">
      <c r="A5" s="7" t="s">
        <v>32</v>
      </c>
      <c r="B5" s="8" t="s">
        <v>45</v>
      </c>
      <c r="C5" s="9" t="s">
        <v>51</v>
      </c>
      <c r="D5" s="10" t="s">
        <v>47</v>
      </c>
      <c r="E5" s="9" t="s">
        <v>52</v>
      </c>
      <c r="F5" s="9"/>
      <c r="G5" s="9" t="s">
        <v>53</v>
      </c>
      <c r="H5" s="9"/>
      <c r="I5" s="9" t="s">
        <v>54</v>
      </c>
      <c r="J5" s="10"/>
      <c r="K5" s="10"/>
    </row>
    <row r="6" spans="1:11" ht="15" customHeight="1" x14ac:dyDescent="0.3">
      <c r="A6" s="7" t="s">
        <v>32</v>
      </c>
      <c r="B6" s="8" t="s">
        <v>45</v>
      </c>
      <c r="C6" s="9" t="s">
        <v>55</v>
      </c>
      <c r="D6" s="10" t="s">
        <v>47</v>
      </c>
      <c r="E6" s="9"/>
      <c r="F6" s="9"/>
      <c r="G6" s="9"/>
      <c r="H6" s="9"/>
      <c r="I6" s="9" t="s">
        <v>56</v>
      </c>
      <c r="J6" s="10"/>
      <c r="K6" s="10"/>
    </row>
    <row r="7" spans="1:11" ht="15" customHeight="1" x14ac:dyDescent="0.3">
      <c r="A7" s="7" t="s">
        <v>32</v>
      </c>
      <c r="B7" s="8" t="s">
        <v>45</v>
      </c>
      <c r="C7" s="9" t="s">
        <v>57</v>
      </c>
      <c r="D7" s="10" t="s">
        <v>47</v>
      </c>
      <c r="E7" s="9"/>
      <c r="F7" s="9"/>
      <c r="G7" s="9"/>
      <c r="H7" s="9"/>
      <c r="I7" s="9" t="s">
        <v>58</v>
      </c>
      <c r="J7" s="10"/>
      <c r="K7" s="10"/>
    </row>
    <row r="8" spans="1:11" ht="15" customHeight="1" x14ac:dyDescent="0.3">
      <c r="A8" s="7" t="s">
        <v>32</v>
      </c>
      <c r="B8" s="8" t="s">
        <v>45</v>
      </c>
      <c r="C8" s="9" t="s">
        <v>59</v>
      </c>
      <c r="D8" s="10" t="s">
        <v>47</v>
      </c>
      <c r="E8" s="10"/>
      <c r="F8" s="9"/>
      <c r="G8" s="10"/>
      <c r="H8" s="10"/>
      <c r="I8" s="10"/>
      <c r="J8" s="10"/>
      <c r="K8" s="10"/>
    </row>
    <row r="9" spans="1:11" ht="15" customHeight="1" x14ac:dyDescent="0.3">
      <c r="A9" s="7" t="s">
        <v>32</v>
      </c>
      <c r="B9" s="8" t="s">
        <v>45</v>
      </c>
      <c r="C9" s="9" t="s">
        <v>60</v>
      </c>
      <c r="D9" s="10" t="s">
        <v>35</v>
      </c>
      <c r="E9" s="10"/>
      <c r="F9" s="9"/>
      <c r="G9" s="10"/>
      <c r="H9" s="10"/>
      <c r="I9" s="10"/>
      <c r="J9" s="10"/>
      <c r="K9" s="10"/>
    </row>
    <row r="10" spans="1:11" ht="15" customHeight="1" x14ac:dyDescent="0.3">
      <c r="A10" s="7" t="s">
        <v>32</v>
      </c>
      <c r="B10" s="8" t="s">
        <v>61</v>
      </c>
      <c r="C10" s="9" t="s">
        <v>62</v>
      </c>
      <c r="D10" s="10" t="s">
        <v>35</v>
      </c>
      <c r="E10" s="10"/>
      <c r="F10" s="9"/>
      <c r="G10" s="10"/>
      <c r="H10" s="10"/>
      <c r="I10" s="10"/>
      <c r="J10" s="10"/>
      <c r="K10" s="10"/>
    </row>
    <row r="11" spans="1:11" ht="15" customHeight="1" x14ac:dyDescent="0.3">
      <c r="A11" s="7" t="s">
        <v>32</v>
      </c>
      <c r="B11" s="8" t="s">
        <v>61</v>
      </c>
      <c r="C11" s="9" t="s">
        <v>63</v>
      </c>
      <c r="D11" s="10" t="s">
        <v>35</v>
      </c>
      <c r="E11" s="10"/>
      <c r="F11" s="9"/>
      <c r="G11" s="10"/>
      <c r="H11" s="10"/>
      <c r="I11" s="10"/>
      <c r="J11" s="10"/>
      <c r="K11" s="10"/>
    </row>
    <row r="12" spans="1:11" ht="15" customHeight="1" x14ac:dyDescent="0.3">
      <c r="A12" s="7" t="s">
        <v>32</v>
      </c>
      <c r="B12" s="8" t="s">
        <v>61</v>
      </c>
      <c r="C12" s="9" t="s">
        <v>64</v>
      </c>
      <c r="D12" s="10" t="s">
        <v>35</v>
      </c>
      <c r="E12" s="10"/>
      <c r="F12" s="9"/>
      <c r="G12" s="10"/>
      <c r="H12" s="10"/>
      <c r="I12" s="10"/>
      <c r="J12" s="10"/>
      <c r="K12" s="10"/>
    </row>
    <row r="13" spans="1:11" ht="15" customHeight="1" x14ac:dyDescent="0.3">
      <c r="A13" s="7" t="s">
        <v>32</v>
      </c>
      <c r="B13" s="8" t="s">
        <v>61</v>
      </c>
      <c r="C13" s="9" t="s">
        <v>65</v>
      </c>
      <c r="D13" s="10" t="s">
        <v>35</v>
      </c>
      <c r="E13" s="10"/>
      <c r="F13" s="9"/>
      <c r="G13" s="10"/>
      <c r="H13" s="10"/>
      <c r="I13" s="10"/>
      <c r="J13" s="10"/>
      <c r="K13" s="10"/>
    </row>
    <row r="14" spans="1:11" ht="15" customHeight="1" x14ac:dyDescent="0.3">
      <c r="A14" s="7" t="s">
        <v>32</v>
      </c>
      <c r="B14" s="8" t="s">
        <v>66</v>
      </c>
      <c r="C14" s="9" t="s">
        <v>67</v>
      </c>
      <c r="D14" s="10" t="s">
        <v>35</v>
      </c>
      <c r="E14" s="10"/>
      <c r="F14" s="9"/>
      <c r="G14" s="10"/>
      <c r="H14" s="10"/>
      <c r="I14" s="10"/>
      <c r="J14" s="10"/>
      <c r="K14" s="10"/>
    </row>
    <row r="15" spans="1:11" ht="15" customHeight="1" x14ac:dyDescent="0.3">
      <c r="A15" s="7" t="s">
        <v>32</v>
      </c>
      <c r="B15" s="8" t="s">
        <v>68</v>
      </c>
      <c r="C15" s="9" t="s">
        <v>69</v>
      </c>
      <c r="D15" s="10" t="s">
        <v>35</v>
      </c>
      <c r="E15" s="10"/>
      <c r="F15" s="9"/>
      <c r="G15" s="10"/>
      <c r="H15" s="10"/>
      <c r="I15" s="10"/>
      <c r="J15" s="10"/>
      <c r="K15" s="10"/>
    </row>
    <row r="16" spans="1:11" ht="15" customHeight="1" x14ac:dyDescent="0.3">
      <c r="A16" s="7" t="s">
        <v>32</v>
      </c>
      <c r="B16" s="8" t="s">
        <v>68</v>
      </c>
      <c r="C16" s="9" t="s">
        <v>70</v>
      </c>
      <c r="D16" s="10" t="s">
        <v>35</v>
      </c>
      <c r="E16" s="10"/>
      <c r="F16" s="9"/>
      <c r="G16" s="10"/>
      <c r="H16" s="10"/>
      <c r="I16" s="10"/>
      <c r="J16" s="10"/>
      <c r="K16" s="10"/>
    </row>
    <row r="17" spans="1:11" ht="15" customHeight="1" x14ac:dyDescent="0.3">
      <c r="A17" s="7" t="s">
        <v>32</v>
      </c>
      <c r="B17" s="8" t="s">
        <v>68</v>
      </c>
      <c r="C17" s="9" t="s">
        <v>71</v>
      </c>
      <c r="D17" s="10" t="s">
        <v>35</v>
      </c>
      <c r="E17" s="10"/>
      <c r="F17" s="9"/>
      <c r="G17" s="10"/>
      <c r="H17" s="10"/>
      <c r="I17" s="10"/>
      <c r="J17" s="10"/>
      <c r="K17" s="10"/>
    </row>
    <row r="18" spans="1:11" ht="15" customHeight="1" x14ac:dyDescent="0.3">
      <c r="A18" s="7" t="s">
        <v>32</v>
      </c>
      <c r="B18" s="8" t="s">
        <v>68</v>
      </c>
      <c r="C18" s="9" t="s">
        <v>72</v>
      </c>
      <c r="D18" s="10" t="s">
        <v>35</v>
      </c>
      <c r="E18" s="10"/>
      <c r="F18" s="9"/>
      <c r="G18" s="10"/>
      <c r="H18" s="10"/>
      <c r="I18" s="10"/>
      <c r="J18" s="10"/>
      <c r="K18" s="10"/>
    </row>
    <row r="19" spans="1:11" ht="15" customHeight="1" x14ac:dyDescent="0.3">
      <c r="A19" s="7" t="s">
        <v>32</v>
      </c>
      <c r="B19" s="8" t="s">
        <v>68</v>
      </c>
      <c r="C19" s="9" t="s">
        <v>73</v>
      </c>
      <c r="D19" s="10"/>
      <c r="E19" s="10"/>
      <c r="F19" s="9"/>
      <c r="G19" s="10"/>
      <c r="H19" s="10"/>
      <c r="I19" s="10"/>
      <c r="J19" s="10"/>
      <c r="K19" s="10"/>
    </row>
    <row r="20" spans="1:11" ht="15" customHeight="1" x14ac:dyDescent="0.3">
      <c r="A20" s="7" t="s">
        <v>32</v>
      </c>
      <c r="B20" s="8" t="s">
        <v>45</v>
      </c>
      <c r="C20" s="9" t="s">
        <v>74</v>
      </c>
      <c r="D20" s="10"/>
      <c r="E20" s="11"/>
      <c r="F20" s="9"/>
      <c r="G20" s="10"/>
      <c r="H20" s="10"/>
      <c r="I20" s="10"/>
      <c r="J20" s="10"/>
      <c r="K20" s="10"/>
    </row>
    <row r="21" spans="1:11" ht="15" customHeight="1" x14ac:dyDescent="0.3">
      <c r="A21" s="7" t="s">
        <v>32</v>
      </c>
      <c r="B21" s="8" t="s">
        <v>68</v>
      </c>
      <c r="C21" s="9" t="s">
        <v>75</v>
      </c>
      <c r="D21" s="10" t="s">
        <v>35</v>
      </c>
      <c r="E21" s="11"/>
      <c r="F21" s="9"/>
      <c r="G21" s="10"/>
      <c r="H21" s="10"/>
      <c r="I21" s="10"/>
      <c r="J21" s="10"/>
      <c r="K21" s="10"/>
    </row>
    <row r="22" spans="1:11" ht="15" customHeight="1" x14ac:dyDescent="0.3">
      <c r="A22" s="7" t="s">
        <v>76</v>
      </c>
      <c r="B22" s="8" t="s">
        <v>77</v>
      </c>
      <c r="C22" s="9" t="s">
        <v>78</v>
      </c>
      <c r="D22" s="10" t="s">
        <v>47</v>
      </c>
      <c r="E22" s="11"/>
      <c r="F22" s="9"/>
      <c r="G22" s="10"/>
      <c r="H22" s="10"/>
      <c r="I22" s="10"/>
      <c r="J22" s="10"/>
      <c r="K22" s="10"/>
    </row>
    <row r="23" spans="1:11" s="12" customFormat="1" ht="15" customHeight="1" x14ac:dyDescent="0.3">
      <c r="A23" s="7" t="s">
        <v>76</v>
      </c>
      <c r="B23" s="8" t="s">
        <v>77</v>
      </c>
      <c r="C23" s="9" t="s">
        <v>79</v>
      </c>
      <c r="D23" s="10" t="s">
        <v>47</v>
      </c>
      <c r="E23" s="11"/>
      <c r="F23" s="9"/>
      <c r="G23" s="10"/>
      <c r="H23" s="10"/>
      <c r="I23" s="10"/>
      <c r="J23" s="10"/>
      <c r="K23" s="10"/>
    </row>
    <row r="24" spans="1:11" s="12" customFormat="1" ht="15" customHeight="1" x14ac:dyDescent="0.3">
      <c r="A24" s="7" t="s">
        <v>76</v>
      </c>
      <c r="B24" s="8" t="s">
        <v>77</v>
      </c>
      <c r="C24" s="9" t="s">
        <v>80</v>
      </c>
      <c r="D24" s="10" t="s">
        <v>47</v>
      </c>
      <c r="E24" s="11"/>
      <c r="F24" s="9"/>
      <c r="G24" s="10"/>
      <c r="H24" s="10"/>
      <c r="I24" s="10"/>
      <c r="J24" s="10"/>
      <c r="K24" s="10"/>
    </row>
    <row r="25" spans="1:11" s="12" customFormat="1" ht="15" customHeight="1" x14ac:dyDescent="0.3">
      <c r="A25" s="7" t="s">
        <v>76</v>
      </c>
      <c r="B25" s="8" t="s">
        <v>77</v>
      </c>
      <c r="C25" s="9" t="s">
        <v>81</v>
      </c>
      <c r="D25" s="10" t="s">
        <v>47</v>
      </c>
      <c r="E25" s="11"/>
      <c r="F25" s="9"/>
      <c r="G25" s="10"/>
      <c r="H25" s="10"/>
      <c r="I25" s="10"/>
      <c r="J25" s="10"/>
      <c r="K25" s="10"/>
    </row>
    <row r="26" spans="1:11" s="12" customFormat="1" ht="15" customHeight="1" x14ac:dyDescent="0.3">
      <c r="A26" s="7" t="s">
        <v>76</v>
      </c>
      <c r="B26" s="8" t="s">
        <v>77</v>
      </c>
      <c r="C26" s="9" t="s">
        <v>82</v>
      </c>
      <c r="D26" s="10" t="s">
        <v>47</v>
      </c>
      <c r="E26" s="11" t="s">
        <v>83</v>
      </c>
      <c r="F26" s="9"/>
      <c r="G26" s="10"/>
      <c r="H26" s="10"/>
      <c r="I26" s="10"/>
      <c r="J26" s="10"/>
      <c r="K26" s="10"/>
    </row>
    <row r="27" spans="1:11" s="12" customFormat="1" ht="15" customHeight="1" x14ac:dyDescent="0.3">
      <c r="A27" s="7" t="s">
        <v>76</v>
      </c>
      <c r="B27" s="8" t="s">
        <v>84</v>
      </c>
      <c r="C27" s="9" t="s">
        <v>85</v>
      </c>
      <c r="D27" s="10" t="s">
        <v>47</v>
      </c>
      <c r="E27" s="11"/>
      <c r="F27" s="9"/>
      <c r="G27" s="10"/>
      <c r="H27" s="10"/>
      <c r="I27" s="10"/>
      <c r="J27" s="10"/>
      <c r="K27" s="10"/>
    </row>
    <row r="28" spans="1:11" s="12" customFormat="1" ht="15" customHeight="1" x14ac:dyDescent="0.3">
      <c r="A28" s="7" t="s">
        <v>76</v>
      </c>
      <c r="B28" s="8" t="s">
        <v>84</v>
      </c>
      <c r="C28" s="9" t="s">
        <v>86</v>
      </c>
      <c r="D28" s="10" t="s">
        <v>47</v>
      </c>
      <c r="E28" s="11"/>
      <c r="F28" s="9"/>
      <c r="G28" s="10"/>
      <c r="H28" s="10"/>
      <c r="I28" s="10"/>
      <c r="J28" s="10"/>
      <c r="K28" s="10"/>
    </row>
    <row r="29" spans="1:11" s="14" customFormat="1" ht="15" customHeight="1" x14ac:dyDescent="0.3">
      <c r="A29" s="13" t="s">
        <v>76</v>
      </c>
      <c r="B29" s="8" t="s">
        <v>84</v>
      </c>
      <c r="C29" s="9" t="s">
        <v>87</v>
      </c>
      <c r="D29" s="10" t="s">
        <v>47</v>
      </c>
      <c r="F29" s="9"/>
      <c r="G29" s="10"/>
      <c r="H29" s="10"/>
      <c r="I29" s="10"/>
      <c r="J29" s="10"/>
      <c r="K29" s="10"/>
    </row>
    <row r="30" spans="1:11" s="12" customFormat="1" ht="15" customHeight="1" x14ac:dyDescent="0.3">
      <c r="A30" s="7" t="s">
        <v>76</v>
      </c>
      <c r="B30" s="8" t="s">
        <v>88</v>
      </c>
      <c r="C30" s="9" t="s">
        <v>89</v>
      </c>
      <c r="D30" s="10" t="s">
        <v>47</v>
      </c>
      <c r="E30" s="10"/>
      <c r="F30" s="9"/>
      <c r="G30" s="10"/>
      <c r="H30" s="10"/>
      <c r="I30" s="10"/>
      <c r="J30" s="10"/>
      <c r="K30" s="10"/>
    </row>
    <row r="31" spans="1:11" s="12" customFormat="1" ht="15" customHeight="1" x14ac:dyDescent="0.3">
      <c r="A31" s="7" t="s">
        <v>76</v>
      </c>
      <c r="B31" s="8" t="s">
        <v>88</v>
      </c>
      <c r="C31" s="9" t="s">
        <v>90</v>
      </c>
      <c r="D31" s="10" t="s">
        <v>47</v>
      </c>
      <c r="E31" s="10"/>
      <c r="F31" s="9"/>
      <c r="G31" s="10"/>
      <c r="H31" s="10"/>
      <c r="I31" s="10"/>
      <c r="J31" s="10"/>
      <c r="K31" s="10"/>
    </row>
    <row r="32" spans="1:11" s="12" customFormat="1" ht="15" customHeight="1" x14ac:dyDescent="0.3">
      <c r="A32" s="7" t="s">
        <v>76</v>
      </c>
      <c r="B32" s="8" t="s">
        <v>88</v>
      </c>
      <c r="C32" s="9" t="s">
        <v>91</v>
      </c>
      <c r="D32" s="10" t="s">
        <v>47</v>
      </c>
      <c r="E32" s="10"/>
      <c r="F32" s="9"/>
      <c r="G32" s="10"/>
      <c r="H32" s="10"/>
      <c r="I32" s="10"/>
      <c r="J32" s="10"/>
      <c r="K32" s="10"/>
    </row>
    <row r="33" spans="1:11" s="12" customFormat="1" ht="15" customHeight="1" x14ac:dyDescent="0.3">
      <c r="A33" s="7" t="s">
        <v>76</v>
      </c>
      <c r="B33" s="8" t="s">
        <v>88</v>
      </c>
      <c r="C33" s="9" t="s">
        <v>92</v>
      </c>
      <c r="D33" s="10" t="s">
        <v>47</v>
      </c>
      <c r="E33" s="10"/>
      <c r="F33" s="9"/>
      <c r="G33" s="10"/>
      <c r="H33" s="10"/>
      <c r="I33" s="10"/>
      <c r="J33" s="10"/>
      <c r="K33" s="10"/>
    </row>
    <row r="34" spans="1:11" ht="15" customHeight="1" x14ac:dyDescent="0.3">
      <c r="A34" s="7" t="s">
        <v>76</v>
      </c>
      <c r="B34" s="8" t="s">
        <v>93</v>
      </c>
      <c r="C34" s="9" t="s">
        <v>94</v>
      </c>
      <c r="D34" s="10" t="s">
        <v>35</v>
      </c>
      <c r="E34" s="10"/>
      <c r="F34" s="9"/>
      <c r="G34" s="10"/>
      <c r="H34" s="10"/>
      <c r="I34" s="10"/>
      <c r="J34" s="10"/>
      <c r="K34" s="10"/>
    </row>
    <row r="35" spans="1:11" ht="15" customHeight="1" x14ac:dyDescent="0.3">
      <c r="A35" s="7" t="s">
        <v>76</v>
      </c>
      <c r="B35" s="8" t="s">
        <v>93</v>
      </c>
      <c r="C35" s="9" t="s">
        <v>95</v>
      </c>
      <c r="D35" s="10" t="s">
        <v>35</v>
      </c>
      <c r="E35" s="10"/>
      <c r="F35" s="9"/>
      <c r="G35" s="10"/>
      <c r="H35" s="10"/>
      <c r="I35" s="10"/>
      <c r="J35" s="10"/>
      <c r="K35" s="10"/>
    </row>
    <row r="36" spans="1:11" ht="15" customHeight="1" x14ac:dyDescent="0.3">
      <c r="A36" s="7" t="s">
        <v>76</v>
      </c>
      <c r="B36" s="8" t="s">
        <v>93</v>
      </c>
      <c r="C36" s="9" t="s">
        <v>96</v>
      </c>
      <c r="D36" s="10" t="s">
        <v>35</v>
      </c>
      <c r="E36" s="10"/>
      <c r="F36" s="9"/>
      <c r="G36" s="10"/>
      <c r="H36" s="10"/>
      <c r="I36" s="10"/>
      <c r="J36" s="10"/>
      <c r="K36" s="10"/>
    </row>
    <row r="37" spans="1:11" ht="15" customHeight="1" x14ac:dyDescent="0.3">
      <c r="A37" s="7" t="s">
        <v>76</v>
      </c>
      <c r="B37" s="8" t="s">
        <v>93</v>
      </c>
      <c r="C37" s="9" t="s">
        <v>97</v>
      </c>
      <c r="D37" s="10" t="s">
        <v>35</v>
      </c>
      <c r="E37" s="10"/>
      <c r="F37" s="9"/>
      <c r="G37" s="10"/>
      <c r="H37" s="10"/>
      <c r="I37" s="10"/>
      <c r="J37" s="10"/>
      <c r="K37" s="10"/>
    </row>
    <row r="38" spans="1:11" ht="15" customHeight="1" x14ac:dyDescent="0.3">
      <c r="A38" s="7" t="s">
        <v>76</v>
      </c>
      <c r="B38" s="8" t="s">
        <v>93</v>
      </c>
      <c r="C38" s="9" t="s">
        <v>98</v>
      </c>
      <c r="D38" s="10" t="s">
        <v>35</v>
      </c>
      <c r="E38" s="10"/>
      <c r="F38" s="9"/>
      <c r="G38" s="10"/>
      <c r="H38" s="10"/>
      <c r="I38" s="10"/>
      <c r="J38" s="10"/>
      <c r="K38" s="10"/>
    </row>
    <row r="39" spans="1:11" s="12" customFormat="1" ht="15" customHeight="1" x14ac:dyDescent="0.3">
      <c r="A39" s="7" t="s">
        <v>76</v>
      </c>
      <c r="B39" s="8" t="s">
        <v>99</v>
      </c>
      <c r="C39" s="9" t="s">
        <v>100</v>
      </c>
      <c r="D39" s="15" t="s">
        <v>35</v>
      </c>
      <c r="E39" s="15"/>
      <c r="F39" s="9"/>
      <c r="G39" s="15"/>
      <c r="H39" s="15"/>
      <c r="I39" s="15"/>
      <c r="J39" s="15"/>
      <c r="K39" s="15"/>
    </row>
    <row r="40" spans="1:11" s="12" customFormat="1" ht="15" customHeight="1" x14ac:dyDescent="0.3">
      <c r="A40" s="7" t="s">
        <v>76</v>
      </c>
      <c r="B40" s="8" t="s">
        <v>99</v>
      </c>
      <c r="C40" s="9" t="s">
        <v>99</v>
      </c>
      <c r="D40" s="15" t="s">
        <v>35</v>
      </c>
      <c r="E40" s="15"/>
      <c r="F40" s="9"/>
      <c r="G40" s="15"/>
      <c r="H40" s="15"/>
      <c r="I40" s="15"/>
      <c r="J40" s="15"/>
      <c r="K40" s="15"/>
    </row>
    <row r="41" spans="1:11" s="12" customFormat="1" ht="15" customHeight="1" x14ac:dyDescent="0.3">
      <c r="A41" s="7" t="s">
        <v>76</v>
      </c>
      <c r="B41" s="8" t="s">
        <v>99</v>
      </c>
      <c r="C41" s="9" t="s">
        <v>101</v>
      </c>
      <c r="D41" s="15" t="s">
        <v>35</v>
      </c>
      <c r="E41" s="15"/>
      <c r="F41" s="9"/>
      <c r="G41" s="15"/>
      <c r="H41" s="15"/>
      <c r="I41" s="15"/>
      <c r="J41" s="15"/>
      <c r="K41" s="15"/>
    </row>
    <row r="42" spans="1:11" s="12" customFormat="1" ht="15" customHeight="1" x14ac:dyDescent="0.3">
      <c r="A42" s="7" t="s">
        <v>76</v>
      </c>
      <c r="B42" s="8" t="s">
        <v>102</v>
      </c>
      <c r="C42" s="9" t="s">
        <v>103</v>
      </c>
      <c r="D42" s="16"/>
      <c r="E42" s="16"/>
      <c r="F42" s="9"/>
      <c r="G42" s="16"/>
      <c r="H42" s="16"/>
      <c r="I42" s="16"/>
      <c r="J42" s="16"/>
      <c r="K42" s="16"/>
    </row>
    <row r="43" spans="1:11" s="12" customFormat="1" ht="15" customHeight="1" x14ac:dyDescent="0.3">
      <c r="A43" s="7" t="s">
        <v>76</v>
      </c>
      <c r="B43" s="8" t="s">
        <v>102</v>
      </c>
      <c r="C43" s="9" t="s">
        <v>104</v>
      </c>
      <c r="D43" s="16"/>
      <c r="E43" s="16"/>
      <c r="F43" s="9"/>
      <c r="G43" s="16"/>
      <c r="H43" s="16"/>
      <c r="I43" s="16"/>
      <c r="J43" s="16"/>
      <c r="K43" s="16"/>
    </row>
    <row r="44" spans="1:11" s="12" customFormat="1" ht="15" customHeight="1" x14ac:dyDescent="0.3">
      <c r="A44" s="7" t="s">
        <v>76</v>
      </c>
      <c r="B44" s="8" t="s">
        <v>102</v>
      </c>
      <c r="C44" s="9" t="s">
        <v>105</v>
      </c>
      <c r="D44" s="16"/>
      <c r="E44" s="16"/>
      <c r="F44" s="9"/>
      <c r="G44" s="16"/>
      <c r="H44" s="16"/>
      <c r="I44" s="16"/>
      <c r="J44" s="16"/>
      <c r="K44" s="16"/>
    </row>
    <row r="45" spans="1:11" ht="15" customHeight="1" x14ac:dyDescent="0.3">
      <c r="A45" s="7" t="s">
        <v>76</v>
      </c>
      <c r="B45" s="8" t="s">
        <v>106</v>
      </c>
      <c r="C45" s="9" t="s">
        <v>107</v>
      </c>
      <c r="D45" s="10"/>
      <c r="E45" s="10"/>
      <c r="F45" s="9"/>
      <c r="G45" s="10"/>
      <c r="H45" s="10"/>
      <c r="I45" s="10"/>
      <c r="J45" s="10"/>
      <c r="K45" s="10"/>
    </row>
    <row r="46" spans="1:11" ht="15" customHeight="1" x14ac:dyDescent="0.3">
      <c r="A46" s="7" t="s">
        <v>108</v>
      </c>
      <c r="B46" s="8" t="s">
        <v>109</v>
      </c>
      <c r="C46" s="9" t="s">
        <v>110</v>
      </c>
      <c r="D46" s="10"/>
      <c r="E46" s="10"/>
      <c r="F46" s="9"/>
      <c r="G46" s="10"/>
      <c r="H46" s="10"/>
      <c r="I46" s="10"/>
      <c r="J46" s="10"/>
      <c r="K46" s="10"/>
    </row>
    <row r="47" spans="1:11" ht="15" customHeight="1" x14ac:dyDescent="0.3">
      <c r="A47" s="7" t="s">
        <v>108</v>
      </c>
      <c r="B47" s="8" t="s">
        <v>109</v>
      </c>
      <c r="C47" s="9" t="s">
        <v>111</v>
      </c>
      <c r="D47" s="10"/>
      <c r="E47" s="10"/>
      <c r="F47" s="9"/>
      <c r="G47" s="10"/>
      <c r="H47" s="10"/>
      <c r="I47" s="10"/>
      <c r="J47" s="10"/>
      <c r="K47" s="10"/>
    </row>
    <row r="48" spans="1:11" ht="15" customHeight="1" x14ac:dyDescent="0.3">
      <c r="A48" s="7" t="s">
        <v>108</v>
      </c>
      <c r="B48" s="8" t="s">
        <v>112</v>
      </c>
      <c r="C48" s="9" t="s">
        <v>113</v>
      </c>
      <c r="D48" s="10"/>
      <c r="E48" s="10"/>
      <c r="F48" s="9"/>
      <c r="G48" s="10"/>
      <c r="H48" s="10"/>
      <c r="I48" s="10"/>
      <c r="J48" s="10"/>
      <c r="K48" s="10"/>
    </row>
    <row r="49" spans="1:11" ht="15" customHeight="1" x14ac:dyDescent="0.3">
      <c r="A49" s="7" t="s">
        <v>108</v>
      </c>
      <c r="B49" s="8" t="s">
        <v>112</v>
      </c>
      <c r="C49" s="9" t="s">
        <v>114</v>
      </c>
      <c r="D49" s="10"/>
      <c r="E49" s="10"/>
      <c r="F49" s="9"/>
      <c r="G49" s="10"/>
      <c r="H49" s="10"/>
      <c r="I49" s="10"/>
      <c r="J49" s="10"/>
      <c r="K49" s="10"/>
    </row>
    <row r="50" spans="1:11" ht="15" customHeight="1" x14ac:dyDescent="0.3">
      <c r="A50" s="7" t="s">
        <v>108</v>
      </c>
      <c r="B50" s="8" t="s">
        <v>115</v>
      </c>
      <c r="C50" s="9" t="s">
        <v>116</v>
      </c>
      <c r="D50" s="10"/>
      <c r="E50" s="10"/>
      <c r="F50" s="9"/>
      <c r="G50" s="10"/>
      <c r="H50" s="10"/>
      <c r="I50" s="10"/>
      <c r="J50" s="10"/>
      <c r="K50" s="10"/>
    </row>
    <row r="51" spans="1:11" ht="15" customHeight="1" x14ac:dyDescent="0.3">
      <c r="A51" s="7" t="s">
        <v>108</v>
      </c>
      <c r="B51" s="8" t="s">
        <v>115</v>
      </c>
      <c r="C51" s="9" t="s">
        <v>117</v>
      </c>
      <c r="D51" s="10"/>
      <c r="E51" s="10"/>
      <c r="F51" s="9"/>
      <c r="G51" s="10"/>
      <c r="H51" s="10"/>
      <c r="I51" s="10"/>
      <c r="J51" s="10"/>
      <c r="K51" s="10"/>
    </row>
    <row r="52" spans="1:11" ht="15" customHeight="1" x14ac:dyDescent="0.3">
      <c r="A52" s="7" t="s">
        <v>108</v>
      </c>
      <c r="B52" s="8" t="s">
        <v>115</v>
      </c>
      <c r="C52" s="9" t="s">
        <v>118</v>
      </c>
      <c r="D52" s="10"/>
      <c r="E52" s="10"/>
      <c r="F52" s="9"/>
      <c r="G52" s="10"/>
      <c r="H52" s="10"/>
      <c r="I52" s="10"/>
      <c r="J52" s="10"/>
      <c r="K52" s="10"/>
    </row>
    <row r="53" spans="1:11" ht="15" customHeight="1" x14ac:dyDescent="0.3">
      <c r="A53" s="7" t="s">
        <v>108</v>
      </c>
      <c r="B53" s="8" t="s">
        <v>115</v>
      </c>
      <c r="C53" s="9" t="s">
        <v>119</v>
      </c>
      <c r="D53" s="10"/>
      <c r="E53" s="10"/>
      <c r="F53" s="9"/>
      <c r="G53" s="10"/>
      <c r="H53" s="10"/>
      <c r="I53" s="10"/>
      <c r="J53" s="10"/>
      <c r="K53" s="10"/>
    </row>
    <row r="54" spans="1:11" ht="15" customHeight="1" x14ac:dyDescent="0.3">
      <c r="A54" s="7" t="s">
        <v>108</v>
      </c>
      <c r="B54" s="8" t="s">
        <v>115</v>
      </c>
      <c r="C54" s="9" t="s">
        <v>120</v>
      </c>
      <c r="D54" s="10"/>
      <c r="E54" s="10"/>
      <c r="F54" s="9"/>
      <c r="G54" s="10"/>
      <c r="H54" s="10"/>
      <c r="I54" s="10"/>
      <c r="J54" s="10"/>
      <c r="K54" s="10"/>
    </row>
    <row r="55" spans="1:11" ht="15" customHeight="1" x14ac:dyDescent="0.3">
      <c r="A55" s="7" t="s">
        <v>108</v>
      </c>
      <c r="B55" s="8" t="s">
        <v>121</v>
      </c>
      <c r="C55" s="9" t="s">
        <v>122</v>
      </c>
      <c r="D55" s="10"/>
      <c r="E55" s="10"/>
      <c r="F55" s="9"/>
      <c r="G55" s="10"/>
      <c r="H55" s="10"/>
      <c r="I55" s="10"/>
      <c r="J55" s="10"/>
      <c r="K55" s="10"/>
    </row>
    <row r="56" spans="1:11" ht="15" customHeight="1" x14ac:dyDescent="0.3">
      <c r="A56" s="7" t="s">
        <v>108</v>
      </c>
      <c r="B56" s="8" t="s">
        <v>121</v>
      </c>
      <c r="C56" s="9" t="s">
        <v>123</v>
      </c>
      <c r="D56" s="10"/>
      <c r="E56" s="10"/>
      <c r="F56" s="9"/>
      <c r="G56" s="10"/>
      <c r="H56" s="10"/>
      <c r="I56" s="10"/>
      <c r="J56" s="10"/>
      <c r="K56" s="10"/>
    </row>
    <row r="57" spans="1:11" ht="15" customHeight="1" x14ac:dyDescent="0.3">
      <c r="A57" s="7" t="s">
        <v>108</v>
      </c>
      <c r="B57" s="8" t="s">
        <v>124</v>
      </c>
      <c r="C57" s="9" t="s">
        <v>125</v>
      </c>
      <c r="D57" s="10"/>
      <c r="E57" s="10"/>
      <c r="F57" s="9"/>
      <c r="G57" s="10"/>
      <c r="H57" s="10"/>
      <c r="I57" s="10"/>
      <c r="J57" s="10"/>
      <c r="K57" s="10"/>
    </row>
    <row r="58" spans="1:11" ht="15" customHeight="1" x14ac:dyDescent="0.3">
      <c r="A58" s="7" t="s">
        <v>108</v>
      </c>
      <c r="B58" s="8" t="s">
        <v>124</v>
      </c>
      <c r="C58" s="9" t="s">
        <v>126</v>
      </c>
      <c r="D58" s="10"/>
      <c r="E58" s="10"/>
      <c r="F58" s="9"/>
      <c r="G58" s="10"/>
      <c r="H58" s="10"/>
      <c r="I58" s="10"/>
      <c r="J58" s="10"/>
      <c r="K58" s="10"/>
    </row>
    <row r="59" spans="1:11" ht="15" customHeight="1" x14ac:dyDescent="0.3">
      <c r="A59" s="7" t="s">
        <v>108</v>
      </c>
      <c r="B59" s="8" t="s">
        <v>124</v>
      </c>
      <c r="C59" s="9" t="s">
        <v>127</v>
      </c>
      <c r="D59" s="10"/>
      <c r="E59" s="10"/>
      <c r="F59" s="9"/>
      <c r="G59" s="10"/>
      <c r="H59" s="10"/>
      <c r="I59" s="10"/>
      <c r="J59" s="10"/>
      <c r="K59" s="10"/>
    </row>
    <row r="60" spans="1:11" ht="15" customHeight="1" x14ac:dyDescent="0.3">
      <c r="A60" s="7" t="s">
        <v>108</v>
      </c>
      <c r="B60" s="8" t="s">
        <v>124</v>
      </c>
      <c r="C60" s="9" t="s">
        <v>128</v>
      </c>
      <c r="D60" s="10"/>
      <c r="E60" s="10"/>
      <c r="F60" s="9"/>
      <c r="G60" s="10"/>
      <c r="H60" s="10"/>
      <c r="I60" s="10"/>
      <c r="J60" s="10"/>
      <c r="K60" s="10"/>
    </row>
    <row r="61" spans="1:11" ht="15" customHeight="1" x14ac:dyDescent="0.3">
      <c r="A61" s="7" t="s">
        <v>108</v>
      </c>
      <c r="B61" s="8" t="s">
        <v>129</v>
      </c>
      <c r="C61" s="9" t="s">
        <v>130</v>
      </c>
      <c r="D61" s="10"/>
      <c r="E61" s="10"/>
      <c r="F61" s="9"/>
      <c r="G61" s="10"/>
      <c r="H61" s="10"/>
      <c r="I61" s="10"/>
      <c r="J61" s="10"/>
      <c r="K61" s="10"/>
    </row>
    <row r="62" spans="1:11" ht="15" customHeight="1" x14ac:dyDescent="0.3">
      <c r="A62" s="7" t="s">
        <v>108</v>
      </c>
      <c r="B62" s="8" t="s">
        <v>129</v>
      </c>
      <c r="C62" s="9" t="s">
        <v>131</v>
      </c>
      <c r="D62" s="10"/>
      <c r="E62" s="10"/>
      <c r="F62" s="9"/>
      <c r="G62" s="10"/>
      <c r="H62" s="10"/>
      <c r="I62" s="10"/>
      <c r="J62" s="10"/>
      <c r="K62" s="10"/>
    </row>
    <row r="63" spans="1:11" ht="15" customHeight="1" x14ac:dyDescent="0.3">
      <c r="A63" s="7" t="s">
        <v>108</v>
      </c>
      <c r="B63" s="8" t="s">
        <v>132</v>
      </c>
      <c r="C63" s="9" t="s">
        <v>133</v>
      </c>
      <c r="D63" s="10"/>
      <c r="E63" s="10"/>
      <c r="F63" s="9"/>
      <c r="G63" s="10"/>
      <c r="H63" s="10"/>
      <c r="I63" s="10"/>
      <c r="J63" s="10"/>
      <c r="K63" s="10"/>
    </row>
    <row r="64" spans="1:11" ht="15" customHeight="1" x14ac:dyDescent="0.3">
      <c r="A64" s="7" t="s">
        <v>134</v>
      </c>
      <c r="B64" s="17" t="s">
        <v>135</v>
      </c>
      <c r="C64" s="9" t="s">
        <v>136</v>
      </c>
      <c r="D64" s="10" t="s">
        <v>137</v>
      </c>
      <c r="E64" s="10"/>
      <c r="F64" s="9"/>
      <c r="G64" s="10"/>
      <c r="H64" s="10"/>
      <c r="I64" s="10"/>
      <c r="J64" s="10"/>
      <c r="K64" s="10"/>
    </row>
    <row r="65" spans="1:11" ht="15" customHeight="1" x14ac:dyDescent="0.3">
      <c r="A65" s="7" t="s">
        <v>134</v>
      </c>
      <c r="B65" s="8" t="s">
        <v>138</v>
      </c>
      <c r="C65" s="9" t="s">
        <v>139</v>
      </c>
      <c r="D65" s="10"/>
      <c r="E65" s="10"/>
      <c r="F65" s="9"/>
      <c r="G65" s="10"/>
      <c r="H65" s="10"/>
      <c r="I65" s="10"/>
      <c r="J65" s="10"/>
      <c r="K65" s="10"/>
    </row>
    <row r="66" spans="1:11" ht="15" customHeight="1" x14ac:dyDescent="0.3">
      <c r="A66" s="7" t="s">
        <v>134</v>
      </c>
      <c r="B66" s="8" t="s">
        <v>138</v>
      </c>
      <c r="C66" s="9" t="s">
        <v>140</v>
      </c>
      <c r="D66" s="10"/>
      <c r="E66" s="10"/>
      <c r="F66" s="9"/>
      <c r="G66" s="10"/>
      <c r="H66" s="10"/>
      <c r="I66" s="10"/>
      <c r="J66" s="10"/>
      <c r="K66" s="10"/>
    </row>
    <row r="67" spans="1:11" ht="15" customHeight="1" x14ac:dyDescent="0.3">
      <c r="A67" s="7" t="s">
        <v>134</v>
      </c>
      <c r="B67" s="8" t="s">
        <v>138</v>
      </c>
      <c r="C67" s="9" t="s">
        <v>141</v>
      </c>
      <c r="D67" s="10"/>
      <c r="E67" s="10"/>
      <c r="F67" s="9"/>
      <c r="G67" s="10"/>
      <c r="H67" s="10"/>
      <c r="I67" s="10"/>
      <c r="J67" s="10"/>
      <c r="K67" s="10"/>
    </row>
    <row r="68" spans="1:11" ht="15" customHeight="1" x14ac:dyDescent="0.3">
      <c r="A68" s="7" t="s">
        <v>134</v>
      </c>
      <c r="B68" s="8" t="s">
        <v>142</v>
      </c>
      <c r="C68" s="9" t="s">
        <v>143</v>
      </c>
      <c r="D68" s="10"/>
      <c r="E68" s="10"/>
      <c r="F68" s="9"/>
      <c r="G68" s="10"/>
      <c r="H68" s="10"/>
      <c r="I68" s="10"/>
      <c r="J68" s="10"/>
      <c r="K68" s="10"/>
    </row>
    <row r="69" spans="1:11" ht="15" customHeight="1" x14ac:dyDescent="0.3">
      <c r="A69" s="7" t="s">
        <v>134</v>
      </c>
      <c r="B69" s="8" t="s">
        <v>144</v>
      </c>
      <c r="C69" s="9" t="s">
        <v>145</v>
      </c>
      <c r="D69" s="10"/>
      <c r="E69" s="10"/>
      <c r="F69" s="9"/>
      <c r="G69" s="10"/>
      <c r="H69" s="10"/>
      <c r="I69" s="10"/>
      <c r="J69" s="10"/>
      <c r="K69" s="10"/>
    </row>
    <row r="70" spans="1:11" ht="15" customHeight="1" x14ac:dyDescent="0.3">
      <c r="A70" s="7" t="s">
        <v>134</v>
      </c>
      <c r="B70" s="17" t="s">
        <v>146</v>
      </c>
      <c r="C70" s="9" t="s">
        <v>147</v>
      </c>
      <c r="D70" s="10" t="s">
        <v>137</v>
      </c>
      <c r="E70" s="10"/>
      <c r="F70" s="9"/>
      <c r="G70" s="10"/>
      <c r="H70" s="10"/>
      <c r="I70" s="10"/>
      <c r="J70" s="10"/>
      <c r="K70" s="10"/>
    </row>
    <row r="71" spans="1:11" ht="15" customHeight="1" x14ac:dyDescent="0.3">
      <c r="A71" s="7" t="s">
        <v>134</v>
      </c>
      <c r="B71" s="17" t="s">
        <v>148</v>
      </c>
      <c r="C71" s="9" t="s">
        <v>149</v>
      </c>
      <c r="D71" s="10" t="s">
        <v>137</v>
      </c>
      <c r="E71" s="10"/>
      <c r="F71" s="9"/>
      <c r="G71" s="10"/>
      <c r="H71" s="10"/>
      <c r="I71" s="10"/>
      <c r="J71" s="10"/>
      <c r="K71" s="10"/>
    </row>
    <row r="72" spans="1:11" ht="15" customHeight="1" x14ac:dyDescent="0.3">
      <c r="A72" s="7" t="s">
        <v>134</v>
      </c>
      <c r="B72" s="17" t="s">
        <v>148</v>
      </c>
      <c r="C72" s="9" t="s">
        <v>150</v>
      </c>
      <c r="D72" s="10" t="s">
        <v>137</v>
      </c>
      <c r="E72" s="10"/>
      <c r="F72" s="9"/>
      <c r="G72" s="10"/>
      <c r="H72" s="10"/>
      <c r="I72" s="10"/>
      <c r="J72" s="10"/>
      <c r="K72" s="10"/>
    </row>
    <row r="73" spans="1:11" ht="15" customHeight="1" x14ac:dyDescent="0.3">
      <c r="A73" s="7" t="s">
        <v>134</v>
      </c>
      <c r="B73" s="17" t="s">
        <v>148</v>
      </c>
      <c r="C73" s="9" t="s">
        <v>151</v>
      </c>
      <c r="D73" s="10" t="s">
        <v>137</v>
      </c>
      <c r="E73" s="10"/>
      <c r="F73" s="9"/>
      <c r="G73" s="10"/>
      <c r="H73" s="10"/>
      <c r="I73" s="10"/>
      <c r="J73" s="10"/>
      <c r="K73" s="10"/>
    </row>
    <row r="74" spans="1:11" ht="15" customHeight="1" x14ac:dyDescent="0.3">
      <c r="A74" s="7" t="s">
        <v>134</v>
      </c>
      <c r="B74" s="17" t="s">
        <v>148</v>
      </c>
      <c r="C74" s="9" t="s">
        <v>152</v>
      </c>
      <c r="D74" s="10"/>
      <c r="E74" s="10"/>
      <c r="F74" s="9"/>
      <c r="G74" s="10"/>
      <c r="H74" s="10"/>
      <c r="I74" s="10"/>
      <c r="J74" s="10"/>
      <c r="K74" s="10"/>
    </row>
    <row r="75" spans="1:11" ht="15" customHeight="1" x14ac:dyDescent="0.3">
      <c r="A75" s="7" t="s">
        <v>134</v>
      </c>
      <c r="B75" s="8" t="s">
        <v>153</v>
      </c>
      <c r="C75" s="9" t="s">
        <v>154</v>
      </c>
      <c r="D75" s="10"/>
      <c r="E75" s="10"/>
      <c r="F75" s="9"/>
      <c r="G75" s="10"/>
      <c r="H75" s="10"/>
      <c r="I75" s="10"/>
      <c r="J75" s="10"/>
      <c r="K75" s="10"/>
    </row>
    <row r="76" spans="1:11" ht="15" customHeight="1" x14ac:dyDescent="0.3">
      <c r="A76" s="7" t="s">
        <v>134</v>
      </c>
      <c r="B76" s="8" t="s">
        <v>155</v>
      </c>
      <c r="C76" s="9" t="s">
        <v>156</v>
      </c>
      <c r="D76" s="10"/>
      <c r="E76" s="10"/>
      <c r="F76" s="9"/>
      <c r="G76" s="10"/>
      <c r="H76" s="10"/>
      <c r="I76" s="10"/>
      <c r="J76" s="10"/>
      <c r="K76" s="10"/>
    </row>
    <row r="77" spans="1:11" ht="15" customHeight="1" x14ac:dyDescent="0.3">
      <c r="A77" s="7" t="s">
        <v>134</v>
      </c>
      <c r="B77" s="8" t="s">
        <v>155</v>
      </c>
      <c r="C77" s="9" t="s">
        <v>157</v>
      </c>
      <c r="D77" s="10"/>
      <c r="E77" s="10"/>
      <c r="F77" s="9"/>
      <c r="G77" s="10"/>
      <c r="H77" s="10"/>
      <c r="I77" s="10"/>
      <c r="J77" s="10"/>
      <c r="K77" s="10"/>
    </row>
    <row r="78" spans="1:11" ht="15" customHeight="1" x14ac:dyDescent="0.3">
      <c r="A78" s="7" t="s">
        <v>158</v>
      </c>
      <c r="B78" s="8" t="s">
        <v>159</v>
      </c>
      <c r="C78" s="9" t="s">
        <v>160</v>
      </c>
      <c r="D78" s="10" t="s">
        <v>137</v>
      </c>
      <c r="E78" s="10"/>
      <c r="F78" s="9"/>
      <c r="G78" s="10"/>
      <c r="H78" s="10"/>
      <c r="I78" s="10"/>
      <c r="J78" s="10"/>
      <c r="K78" s="10"/>
    </row>
    <row r="79" spans="1:11" ht="15" customHeight="1" x14ac:dyDescent="0.3">
      <c r="A79" s="7" t="s">
        <v>158</v>
      </c>
      <c r="B79" s="8" t="s">
        <v>159</v>
      </c>
      <c r="C79" s="9" t="s">
        <v>161</v>
      </c>
      <c r="D79" s="10" t="s">
        <v>137</v>
      </c>
      <c r="E79" s="10"/>
      <c r="F79" s="9"/>
      <c r="G79" s="10"/>
      <c r="H79" s="10"/>
      <c r="I79" s="10"/>
      <c r="J79" s="10"/>
      <c r="K79" s="10"/>
    </row>
    <row r="80" spans="1:11" ht="15" customHeight="1" x14ac:dyDescent="0.3">
      <c r="A80" s="7" t="s">
        <v>158</v>
      </c>
      <c r="B80" s="8" t="s">
        <v>162</v>
      </c>
      <c r="C80" s="9" t="s">
        <v>163</v>
      </c>
      <c r="D80" s="10" t="s">
        <v>137</v>
      </c>
      <c r="E80" s="10"/>
      <c r="F80" s="9"/>
      <c r="G80" s="10"/>
      <c r="H80" s="10"/>
      <c r="I80" s="10"/>
      <c r="J80" s="10"/>
      <c r="K80" s="10"/>
    </row>
    <row r="81" spans="1:11" ht="15" customHeight="1" x14ac:dyDescent="0.3">
      <c r="A81" s="7" t="s">
        <v>158</v>
      </c>
      <c r="B81" s="8" t="s">
        <v>164</v>
      </c>
      <c r="C81" s="9" t="s">
        <v>165</v>
      </c>
      <c r="D81" s="10" t="s">
        <v>137</v>
      </c>
      <c r="E81" s="10"/>
      <c r="F81" s="9"/>
      <c r="G81" s="10"/>
      <c r="H81" s="10"/>
      <c r="I81" s="10"/>
      <c r="J81" s="10"/>
      <c r="K81" s="10"/>
    </row>
    <row r="82" spans="1:11" ht="15" customHeight="1" x14ac:dyDescent="0.3">
      <c r="A82" s="7" t="s">
        <v>158</v>
      </c>
      <c r="B82" s="8" t="s">
        <v>166</v>
      </c>
      <c r="C82" s="9" t="s">
        <v>167</v>
      </c>
      <c r="D82" s="10" t="s">
        <v>137</v>
      </c>
      <c r="E82" s="10"/>
      <c r="F82" s="9"/>
      <c r="G82" s="10"/>
      <c r="H82" s="10"/>
      <c r="I82" s="10"/>
      <c r="J82" s="10"/>
      <c r="K82" s="10"/>
    </row>
    <row r="83" spans="1:11" ht="15" customHeight="1" x14ac:dyDescent="0.3">
      <c r="A83" s="7" t="s">
        <v>158</v>
      </c>
      <c r="B83" s="8" t="s">
        <v>166</v>
      </c>
      <c r="C83" s="9" t="s">
        <v>168</v>
      </c>
      <c r="D83" s="10"/>
      <c r="E83" s="10"/>
      <c r="F83" s="9"/>
      <c r="G83" s="10"/>
      <c r="H83" s="10"/>
      <c r="I83" s="10"/>
      <c r="J83" s="10"/>
      <c r="K83" s="10"/>
    </row>
    <row r="84" spans="1:11" ht="15" customHeight="1" x14ac:dyDescent="0.3">
      <c r="A84" s="7" t="s">
        <v>158</v>
      </c>
      <c r="B84" s="8" t="s">
        <v>166</v>
      </c>
      <c r="C84" s="9" t="s">
        <v>169</v>
      </c>
      <c r="D84" s="10"/>
      <c r="E84" s="10"/>
      <c r="F84" s="9"/>
      <c r="G84" s="10"/>
      <c r="H84" s="10"/>
      <c r="I84" s="10"/>
      <c r="J84" s="10"/>
      <c r="K84" s="10"/>
    </row>
    <row r="85" spans="1:11" ht="15" customHeight="1" x14ac:dyDescent="0.3">
      <c r="A85" s="7" t="s">
        <v>158</v>
      </c>
      <c r="B85" s="8" t="s">
        <v>159</v>
      </c>
      <c r="C85" s="9" t="s">
        <v>170</v>
      </c>
      <c r="D85" s="10"/>
      <c r="E85" s="10"/>
      <c r="F85" s="9"/>
      <c r="G85" s="10"/>
      <c r="H85" s="10"/>
      <c r="I85" s="10"/>
      <c r="J85" s="10"/>
      <c r="K85" s="10"/>
    </row>
    <row r="86" spans="1:11" ht="15" customHeight="1" x14ac:dyDescent="0.3">
      <c r="A86" s="18" t="s">
        <v>158</v>
      </c>
      <c r="B86" s="19" t="s">
        <v>171</v>
      </c>
      <c r="C86" s="9" t="s">
        <v>172</v>
      </c>
      <c r="D86" s="10"/>
      <c r="E86" s="10"/>
      <c r="F86" s="9"/>
      <c r="G86" s="10"/>
      <c r="H86" s="10"/>
      <c r="I86" s="10"/>
      <c r="J86" s="10"/>
      <c r="K86" s="10"/>
    </row>
    <row r="87" spans="1:11" ht="15" customHeight="1" x14ac:dyDescent="0.3">
      <c r="A87" s="20" t="s">
        <v>158</v>
      </c>
      <c r="B87" s="21" t="s">
        <v>173</v>
      </c>
      <c r="C87" s="9" t="s">
        <v>174</v>
      </c>
      <c r="D87" s="10"/>
      <c r="E87" s="10"/>
      <c r="F87" s="9"/>
      <c r="G87" s="10"/>
      <c r="H87" s="10"/>
      <c r="I87" s="10"/>
      <c r="J87" s="10"/>
      <c r="K87" s="10"/>
    </row>
    <row r="88" spans="1:11" ht="15" customHeight="1" x14ac:dyDescent="0.3">
      <c r="A88" s="7" t="s">
        <v>158</v>
      </c>
      <c r="B88" s="8" t="s">
        <v>173</v>
      </c>
      <c r="C88" s="9" t="s">
        <v>175</v>
      </c>
      <c r="D88" s="10"/>
      <c r="E88" s="10"/>
      <c r="F88" s="9"/>
      <c r="G88" s="10"/>
      <c r="H88" s="10"/>
      <c r="I88" s="10"/>
      <c r="J88" s="10"/>
      <c r="K88" s="10"/>
    </row>
    <row r="89" spans="1:11" ht="15" customHeight="1" x14ac:dyDescent="0.3">
      <c r="A89" s="7" t="s">
        <v>158</v>
      </c>
      <c r="B89" s="8" t="s">
        <v>173</v>
      </c>
      <c r="C89" s="9" t="s">
        <v>176</v>
      </c>
      <c r="D89" s="10"/>
      <c r="E89" s="10"/>
      <c r="F89" s="9"/>
      <c r="G89" s="10"/>
      <c r="H89" s="10"/>
      <c r="I89" s="10"/>
      <c r="J89" s="10"/>
      <c r="K89" s="10"/>
    </row>
    <row r="90" spans="1:11" ht="15" customHeight="1" x14ac:dyDescent="0.3">
      <c r="A90" s="20" t="s">
        <v>177</v>
      </c>
      <c r="B90" s="21" t="s">
        <v>178</v>
      </c>
      <c r="C90" s="9" t="s">
        <v>179</v>
      </c>
      <c r="D90" s="10" t="s">
        <v>35</v>
      </c>
      <c r="E90" s="10"/>
      <c r="F90" s="9"/>
      <c r="G90" s="10"/>
      <c r="H90" s="10"/>
      <c r="I90" s="10"/>
      <c r="J90" s="10"/>
      <c r="K90" s="10"/>
    </row>
    <row r="91" spans="1:11" ht="15" customHeight="1" x14ac:dyDescent="0.3">
      <c r="A91" s="7" t="s">
        <v>177</v>
      </c>
      <c r="B91" s="8" t="s">
        <v>178</v>
      </c>
      <c r="C91" s="9" t="s">
        <v>180</v>
      </c>
      <c r="D91" s="10" t="s">
        <v>35</v>
      </c>
      <c r="E91" s="10"/>
      <c r="F91" s="9"/>
      <c r="G91" s="10"/>
      <c r="H91" s="10"/>
      <c r="I91" s="10"/>
      <c r="J91" s="10"/>
      <c r="K91" s="10"/>
    </row>
    <row r="92" spans="1:11" ht="15" customHeight="1" x14ac:dyDescent="0.3">
      <c r="A92" s="7" t="s">
        <v>177</v>
      </c>
      <c r="B92" s="8" t="s">
        <v>178</v>
      </c>
      <c r="C92" s="9" t="s">
        <v>181</v>
      </c>
      <c r="D92" s="10" t="s">
        <v>35</v>
      </c>
      <c r="E92" s="10"/>
      <c r="F92" s="9"/>
      <c r="G92" s="10"/>
      <c r="H92" s="10"/>
      <c r="I92" s="10"/>
      <c r="J92" s="10"/>
      <c r="K92" s="10"/>
    </row>
    <row r="93" spans="1:11" ht="15" customHeight="1" x14ac:dyDescent="0.3">
      <c r="A93" s="7" t="s">
        <v>177</v>
      </c>
      <c r="B93" s="8" t="s">
        <v>182</v>
      </c>
      <c r="C93" s="9" t="s">
        <v>183</v>
      </c>
      <c r="D93" s="10" t="s">
        <v>35</v>
      </c>
      <c r="E93" s="10"/>
      <c r="F93" s="9"/>
      <c r="G93" s="10"/>
      <c r="H93" s="10"/>
      <c r="I93" s="10"/>
      <c r="J93" s="10"/>
      <c r="K93" s="10"/>
    </row>
    <row r="94" spans="1:11" ht="15" customHeight="1" x14ac:dyDescent="0.3">
      <c r="A94" s="7" t="s">
        <v>177</v>
      </c>
      <c r="B94" s="8" t="s">
        <v>182</v>
      </c>
      <c r="C94" s="9" t="s">
        <v>184</v>
      </c>
      <c r="D94" s="10" t="s">
        <v>35</v>
      </c>
      <c r="E94" s="10"/>
      <c r="F94" s="9"/>
      <c r="G94" s="10"/>
      <c r="H94" s="10"/>
      <c r="I94" s="10"/>
      <c r="J94" s="10"/>
      <c r="K94" s="10"/>
    </row>
    <row r="95" spans="1:11" ht="15" customHeight="1" x14ac:dyDescent="0.3">
      <c r="A95" s="7" t="s">
        <v>177</v>
      </c>
      <c r="B95" s="8" t="s">
        <v>185</v>
      </c>
      <c r="C95" s="9" t="s">
        <v>186</v>
      </c>
      <c r="D95" s="10" t="s">
        <v>35</v>
      </c>
      <c r="E95" s="10"/>
      <c r="F95" s="9"/>
      <c r="G95" s="10"/>
      <c r="H95" s="10"/>
      <c r="I95" s="10"/>
      <c r="J95" s="10"/>
      <c r="K95" s="10"/>
    </row>
    <row r="96" spans="1:11" ht="15" customHeight="1" x14ac:dyDescent="0.3">
      <c r="A96" s="7" t="s">
        <v>177</v>
      </c>
      <c r="B96" s="8" t="s">
        <v>185</v>
      </c>
      <c r="C96" s="9" t="s">
        <v>187</v>
      </c>
      <c r="D96" s="10" t="s">
        <v>35</v>
      </c>
      <c r="E96" s="10"/>
      <c r="F96" s="9"/>
      <c r="G96" s="10"/>
      <c r="H96" s="10"/>
      <c r="I96" s="10"/>
      <c r="J96" s="10"/>
      <c r="K96" s="10"/>
    </row>
    <row r="97" spans="1:11" ht="15" customHeight="1" x14ac:dyDescent="0.3">
      <c r="A97" s="7" t="s">
        <v>177</v>
      </c>
      <c r="B97" s="8" t="s">
        <v>188</v>
      </c>
      <c r="C97" s="9" t="s">
        <v>189</v>
      </c>
      <c r="D97" s="10" t="s">
        <v>35</v>
      </c>
      <c r="E97" s="10"/>
      <c r="F97" s="9"/>
      <c r="G97" s="10"/>
      <c r="H97" s="10"/>
      <c r="I97" s="10"/>
      <c r="J97" s="10"/>
      <c r="K97" s="10"/>
    </row>
    <row r="98" spans="1:11" ht="15" customHeight="1" x14ac:dyDescent="0.3">
      <c r="A98" s="7" t="s">
        <v>177</v>
      </c>
      <c r="B98" s="8" t="s">
        <v>188</v>
      </c>
      <c r="C98" s="9" t="s">
        <v>190</v>
      </c>
      <c r="D98" s="10" t="s">
        <v>35</v>
      </c>
      <c r="E98" s="10"/>
      <c r="F98" s="9"/>
      <c r="G98" s="10"/>
      <c r="H98" s="10"/>
      <c r="I98" s="10"/>
      <c r="J98" s="10"/>
      <c r="K98" s="10"/>
    </row>
    <row r="99" spans="1:11" ht="15" customHeight="1" x14ac:dyDescent="0.3">
      <c r="A99" s="7" t="s">
        <v>177</v>
      </c>
      <c r="B99" s="8" t="s">
        <v>191</v>
      </c>
      <c r="C99" s="9" t="s">
        <v>192</v>
      </c>
      <c r="D99" s="10" t="s">
        <v>35</v>
      </c>
      <c r="E99" s="10"/>
      <c r="F99" s="9"/>
      <c r="G99" s="10"/>
      <c r="H99" s="10"/>
      <c r="I99" s="10"/>
      <c r="J99" s="10"/>
      <c r="K99" s="10"/>
    </row>
    <row r="100" spans="1:11" ht="15" customHeight="1" x14ac:dyDescent="0.3">
      <c r="A100" s="7" t="s">
        <v>193</v>
      </c>
      <c r="B100" s="8" t="s">
        <v>194</v>
      </c>
      <c r="C100" s="9" t="s">
        <v>195</v>
      </c>
      <c r="D100" s="10"/>
    </row>
    <row r="101" spans="1:11" ht="15" customHeight="1" x14ac:dyDescent="0.3">
      <c r="A101" s="7" t="s">
        <v>193</v>
      </c>
      <c r="B101" s="8" t="s">
        <v>196</v>
      </c>
      <c r="C101" s="9" t="s">
        <v>197</v>
      </c>
      <c r="D101" s="10"/>
    </row>
    <row r="102" spans="1:11" ht="15" customHeight="1" x14ac:dyDescent="0.3">
      <c r="A102" s="7" t="s">
        <v>193</v>
      </c>
      <c r="B102" s="8" t="s">
        <v>198</v>
      </c>
      <c r="C102" s="9" t="s">
        <v>199</v>
      </c>
      <c r="D102" s="10"/>
    </row>
    <row r="103" spans="1:11" ht="15" customHeight="1" x14ac:dyDescent="0.3">
      <c r="A103" s="7" t="s">
        <v>193</v>
      </c>
      <c r="B103" s="8" t="s">
        <v>200</v>
      </c>
      <c r="C103" s="9" t="s">
        <v>201</v>
      </c>
      <c r="D103" s="10"/>
    </row>
    <row r="104" spans="1:11" ht="15" customHeight="1" x14ac:dyDescent="0.3">
      <c r="A104" s="7" t="s">
        <v>193</v>
      </c>
      <c r="B104" s="8" t="s">
        <v>202</v>
      </c>
      <c r="C104" s="9" t="s">
        <v>203</v>
      </c>
      <c r="D104" s="10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5"/>
  <sheetViews>
    <sheetView showGridLines="0" tabSelected="1" zoomScale="85" zoomScaleNormal="85" workbookViewId="0">
      <pane ySplit="1" topLeftCell="A2" activePane="bottomLeft" state="frozen"/>
      <selection pane="bottomLeft" activeCell="E17" sqref="E17"/>
    </sheetView>
  </sheetViews>
  <sheetFormatPr defaultColWidth="8.5546875" defaultRowHeight="14.4" x14ac:dyDescent="0.3"/>
  <cols>
    <col min="1" max="1" width="4" customWidth="1"/>
    <col min="2" max="2" width="22" customWidth="1"/>
    <col min="3" max="3" width="21" customWidth="1"/>
    <col min="4" max="4" width="34" customWidth="1"/>
    <col min="5" max="5" width="12" customWidth="1"/>
    <col min="6" max="6" width="24" customWidth="1"/>
    <col min="7" max="7" width="42.88671875" customWidth="1"/>
    <col min="8" max="8" width="12.88671875" customWidth="1"/>
    <col min="9" max="9" width="28" customWidth="1"/>
    <col min="10" max="10" width="56" customWidth="1"/>
    <col min="11" max="11" width="62" customWidth="1"/>
    <col min="12" max="12" width="20" customWidth="1"/>
    <col min="13" max="13" width="14" customWidth="1"/>
    <col min="14" max="14" width="24" customWidth="1"/>
  </cols>
  <sheetData>
    <row r="1" spans="1:14" ht="42" customHeight="1" x14ac:dyDescent="0.3">
      <c r="A1" s="22" t="s">
        <v>204</v>
      </c>
      <c r="B1" s="22" t="s">
        <v>23</v>
      </c>
      <c r="C1" s="22" t="s">
        <v>24</v>
      </c>
      <c r="D1" s="22" t="s">
        <v>25</v>
      </c>
      <c r="E1" s="22" t="s">
        <v>26</v>
      </c>
      <c r="F1" s="22" t="s">
        <v>205</v>
      </c>
      <c r="G1" s="22" t="s">
        <v>206</v>
      </c>
      <c r="H1" s="22" t="s">
        <v>207</v>
      </c>
      <c r="I1" s="22" t="s">
        <v>208</v>
      </c>
      <c r="J1" s="22" t="s">
        <v>209</v>
      </c>
      <c r="K1" s="22" t="s">
        <v>210</v>
      </c>
      <c r="L1" s="22" t="s">
        <v>211</v>
      </c>
      <c r="M1" s="22" t="s">
        <v>212</v>
      </c>
      <c r="N1" s="22" t="s">
        <v>213</v>
      </c>
    </row>
    <row r="2" spans="1:14" ht="39.6" x14ac:dyDescent="0.3">
      <c r="A2" s="23">
        <v>1</v>
      </c>
      <c r="B2" s="24" t="s">
        <v>32</v>
      </c>
      <c r="C2" s="24" t="s">
        <v>33</v>
      </c>
      <c r="D2" s="24" t="s">
        <v>34</v>
      </c>
      <c r="E2" s="25" t="s">
        <v>35</v>
      </c>
      <c r="F2" s="24" t="s">
        <v>214</v>
      </c>
      <c r="G2" s="24" t="s">
        <v>215</v>
      </c>
      <c r="H2" s="23" t="s">
        <v>214</v>
      </c>
      <c r="I2" s="24"/>
      <c r="J2" s="26" t="s">
        <v>216</v>
      </c>
      <c r="K2" s="26" t="s">
        <v>217</v>
      </c>
      <c r="L2" s="26" t="s">
        <v>214</v>
      </c>
      <c r="M2" s="27"/>
      <c r="N2" s="27"/>
    </row>
    <row r="3" spans="1:14" ht="26.4" x14ac:dyDescent="0.3">
      <c r="A3" s="28">
        <v>2</v>
      </c>
      <c r="B3" s="26" t="s">
        <v>32</v>
      </c>
      <c r="C3" s="26" t="s">
        <v>33</v>
      </c>
      <c r="D3" s="26" t="s">
        <v>40</v>
      </c>
      <c r="E3" s="29" t="s">
        <v>35</v>
      </c>
      <c r="F3" s="26" t="s">
        <v>218</v>
      </c>
      <c r="G3" s="30" t="s">
        <v>219</v>
      </c>
      <c r="H3" s="31" t="s">
        <v>220</v>
      </c>
      <c r="I3" s="26" t="s">
        <v>221</v>
      </c>
      <c r="J3" s="26" t="s">
        <v>222</v>
      </c>
      <c r="K3" s="26" t="s">
        <v>223</v>
      </c>
      <c r="L3" s="26" t="s">
        <v>224</v>
      </c>
      <c r="M3" s="27"/>
      <c r="N3" s="27"/>
    </row>
    <row r="4" spans="1:14" ht="39.6" x14ac:dyDescent="0.3">
      <c r="A4" s="28">
        <v>3</v>
      </c>
      <c r="B4" s="26" t="s">
        <v>32</v>
      </c>
      <c r="C4" s="26" t="s">
        <v>45</v>
      </c>
      <c r="D4" s="26" t="s">
        <v>46</v>
      </c>
      <c r="E4" s="29" t="s">
        <v>47</v>
      </c>
      <c r="F4" s="26" t="s">
        <v>218</v>
      </c>
      <c r="G4" s="30" t="s">
        <v>225</v>
      </c>
      <c r="H4" s="32" t="s">
        <v>226</v>
      </c>
      <c r="I4" s="26" t="s">
        <v>227</v>
      </c>
      <c r="J4" s="26" t="s">
        <v>228</v>
      </c>
      <c r="K4" s="26" t="s">
        <v>229</v>
      </c>
      <c r="L4" s="26" t="s">
        <v>224</v>
      </c>
      <c r="M4" s="27"/>
      <c r="N4" s="27"/>
    </row>
    <row r="5" spans="1:14" ht="26.4" x14ac:dyDescent="0.3">
      <c r="A5" s="28">
        <v>4</v>
      </c>
      <c r="B5" s="26" t="s">
        <v>32</v>
      </c>
      <c r="C5" s="26" t="s">
        <v>45</v>
      </c>
      <c r="D5" s="26" t="s">
        <v>51</v>
      </c>
      <c r="E5" s="29" t="s">
        <v>47</v>
      </c>
      <c r="F5" s="26" t="s">
        <v>218</v>
      </c>
      <c r="G5" s="30" t="s">
        <v>225</v>
      </c>
      <c r="H5" s="32" t="s">
        <v>226</v>
      </c>
      <c r="I5" s="26" t="s">
        <v>230</v>
      </c>
      <c r="J5" s="26" t="s">
        <v>231</v>
      </c>
      <c r="K5" s="26" t="s">
        <v>232</v>
      </c>
      <c r="L5" s="26" t="s">
        <v>224</v>
      </c>
      <c r="M5" s="27"/>
      <c r="N5" s="27"/>
    </row>
    <row r="6" spans="1:14" ht="26.4" x14ac:dyDescent="0.3">
      <c r="A6" s="28">
        <v>5</v>
      </c>
      <c r="B6" s="26" t="s">
        <v>32</v>
      </c>
      <c r="C6" s="26" t="s">
        <v>45</v>
      </c>
      <c r="D6" s="26" t="s">
        <v>55</v>
      </c>
      <c r="E6" s="29" t="s">
        <v>47</v>
      </c>
      <c r="F6" s="26" t="s">
        <v>218</v>
      </c>
      <c r="G6" s="30" t="s">
        <v>225</v>
      </c>
      <c r="H6" s="32" t="s">
        <v>226</v>
      </c>
      <c r="I6" s="26" t="s">
        <v>233</v>
      </c>
      <c r="J6" s="26" t="s">
        <v>234</v>
      </c>
      <c r="K6" s="26" t="s">
        <v>235</v>
      </c>
      <c r="L6" s="26" t="s">
        <v>224</v>
      </c>
      <c r="M6" s="27"/>
      <c r="N6" s="27"/>
    </row>
    <row r="7" spans="1:14" ht="26.4" x14ac:dyDescent="0.3">
      <c r="A7" s="28">
        <v>6</v>
      </c>
      <c r="B7" s="26" t="s">
        <v>32</v>
      </c>
      <c r="C7" s="26" t="s">
        <v>45</v>
      </c>
      <c r="D7" s="26" t="s">
        <v>57</v>
      </c>
      <c r="E7" s="29" t="s">
        <v>47</v>
      </c>
      <c r="F7" s="26" t="s">
        <v>218</v>
      </c>
      <c r="G7" s="30" t="s">
        <v>225</v>
      </c>
      <c r="H7" s="32" t="s">
        <v>226</v>
      </c>
      <c r="I7" s="26" t="s">
        <v>236</v>
      </c>
      <c r="J7" s="26" t="s">
        <v>237</v>
      </c>
      <c r="K7" s="26" t="s">
        <v>238</v>
      </c>
      <c r="L7" s="26" t="s">
        <v>224</v>
      </c>
      <c r="M7" s="27"/>
      <c r="N7" s="27"/>
    </row>
    <row r="8" spans="1:14" ht="26.4" x14ac:dyDescent="0.3">
      <c r="A8" s="28">
        <v>7</v>
      </c>
      <c r="B8" s="26" t="s">
        <v>32</v>
      </c>
      <c r="C8" s="26" t="s">
        <v>45</v>
      </c>
      <c r="D8" s="26" t="s">
        <v>59</v>
      </c>
      <c r="E8" s="29" t="s">
        <v>47</v>
      </c>
      <c r="F8" s="26" t="s">
        <v>218</v>
      </c>
      <c r="G8" s="30" t="s">
        <v>225</v>
      </c>
      <c r="H8" s="32" t="s">
        <v>226</v>
      </c>
      <c r="I8" s="26" t="s">
        <v>239</v>
      </c>
      <c r="J8" s="26" t="s">
        <v>240</v>
      </c>
      <c r="K8" s="26" t="s">
        <v>241</v>
      </c>
      <c r="L8" s="26" t="s">
        <v>224</v>
      </c>
      <c r="M8" s="27"/>
      <c r="N8" s="27"/>
    </row>
    <row r="9" spans="1:14" ht="26.4" x14ac:dyDescent="0.3">
      <c r="A9" s="28">
        <v>8</v>
      </c>
      <c r="B9" s="26" t="s">
        <v>32</v>
      </c>
      <c r="C9" s="26" t="s">
        <v>45</v>
      </c>
      <c r="D9" s="26" t="s">
        <v>60</v>
      </c>
      <c r="E9" s="29" t="s">
        <v>35</v>
      </c>
      <c r="F9" s="26" t="s">
        <v>242</v>
      </c>
      <c r="G9" s="30" t="s">
        <v>233</v>
      </c>
      <c r="H9" s="32" t="s">
        <v>226</v>
      </c>
      <c r="I9" s="26" t="s">
        <v>225</v>
      </c>
      <c r="J9" s="26" t="s">
        <v>243</v>
      </c>
      <c r="K9" s="26" t="s">
        <v>244</v>
      </c>
      <c r="L9" s="26" t="s">
        <v>224</v>
      </c>
      <c r="M9" s="27"/>
      <c r="N9" s="27"/>
    </row>
    <row r="10" spans="1:14" ht="26.4" x14ac:dyDescent="0.3">
      <c r="A10" s="28">
        <v>9</v>
      </c>
      <c r="B10" s="26" t="s">
        <v>32</v>
      </c>
      <c r="C10" s="26" t="s">
        <v>61</v>
      </c>
      <c r="D10" s="26" t="s">
        <v>62</v>
      </c>
      <c r="E10" s="29" t="s">
        <v>35</v>
      </c>
      <c r="F10" s="26" t="s">
        <v>218</v>
      </c>
      <c r="G10" s="30" t="s">
        <v>245</v>
      </c>
      <c r="H10" s="31" t="s">
        <v>220</v>
      </c>
      <c r="I10" s="26"/>
      <c r="J10" s="26" t="s">
        <v>246</v>
      </c>
      <c r="K10" s="26" t="s">
        <v>247</v>
      </c>
      <c r="L10" s="26" t="s">
        <v>224</v>
      </c>
      <c r="M10" s="27"/>
      <c r="N10" s="27"/>
    </row>
    <row r="11" spans="1:14" ht="26.4" x14ac:dyDescent="0.3">
      <c r="A11" s="28">
        <v>10</v>
      </c>
      <c r="B11" s="26" t="s">
        <v>32</v>
      </c>
      <c r="C11" s="26" t="s">
        <v>61</v>
      </c>
      <c r="D11" s="26" t="s">
        <v>63</v>
      </c>
      <c r="E11" s="29" t="s">
        <v>35</v>
      </c>
      <c r="F11" s="26" t="s">
        <v>218</v>
      </c>
      <c r="G11" s="30" t="s">
        <v>245</v>
      </c>
      <c r="H11" s="31" t="s">
        <v>220</v>
      </c>
      <c r="I11" s="26" t="s">
        <v>233</v>
      </c>
      <c r="J11" s="26" t="s">
        <v>248</v>
      </c>
      <c r="K11" s="26" t="s">
        <v>249</v>
      </c>
      <c r="L11" s="26" t="s">
        <v>224</v>
      </c>
      <c r="M11" s="27"/>
      <c r="N11" s="27"/>
    </row>
    <row r="12" spans="1:14" ht="26.4" x14ac:dyDescent="0.3">
      <c r="A12" s="28">
        <v>11</v>
      </c>
      <c r="B12" s="26" t="s">
        <v>32</v>
      </c>
      <c r="C12" s="26" t="s">
        <v>61</v>
      </c>
      <c r="D12" s="26" t="s">
        <v>64</v>
      </c>
      <c r="E12" s="29" t="s">
        <v>35</v>
      </c>
      <c r="F12" s="26" t="s">
        <v>218</v>
      </c>
      <c r="G12" s="30" t="s">
        <v>245</v>
      </c>
      <c r="H12" s="31" t="s">
        <v>220</v>
      </c>
      <c r="I12" s="26" t="s">
        <v>250</v>
      </c>
      <c r="J12" s="26" t="s">
        <v>251</v>
      </c>
      <c r="K12" s="26" t="s">
        <v>252</v>
      </c>
      <c r="L12" s="26" t="s">
        <v>224</v>
      </c>
      <c r="M12" s="27"/>
      <c r="N12" s="27"/>
    </row>
    <row r="13" spans="1:14" ht="26.4" x14ac:dyDescent="0.3">
      <c r="A13" s="28">
        <v>12</v>
      </c>
      <c r="B13" s="26" t="s">
        <v>32</v>
      </c>
      <c r="C13" s="26" t="s">
        <v>61</v>
      </c>
      <c r="D13" s="26" t="s">
        <v>65</v>
      </c>
      <c r="E13" s="29" t="s">
        <v>35</v>
      </c>
      <c r="F13" s="26" t="s">
        <v>242</v>
      </c>
      <c r="G13" s="30" t="s">
        <v>250</v>
      </c>
      <c r="H13" s="32" t="s">
        <v>226</v>
      </c>
      <c r="I13" s="26" t="s">
        <v>221</v>
      </c>
      <c r="J13" s="26" t="s">
        <v>253</v>
      </c>
      <c r="K13" s="26" t="s">
        <v>254</v>
      </c>
      <c r="L13" s="26" t="s">
        <v>224</v>
      </c>
      <c r="M13" s="27"/>
      <c r="N13" s="27"/>
    </row>
    <row r="14" spans="1:14" ht="26.4" x14ac:dyDescent="0.3">
      <c r="A14" s="23">
        <v>13</v>
      </c>
      <c r="B14" s="24" t="s">
        <v>32</v>
      </c>
      <c r="C14" s="24" t="s">
        <v>66</v>
      </c>
      <c r="D14" s="24" t="s">
        <v>67</v>
      </c>
      <c r="E14" s="25" t="s">
        <v>35</v>
      </c>
      <c r="F14" s="24" t="s">
        <v>214</v>
      </c>
      <c r="G14" s="24" t="s">
        <v>215</v>
      </c>
      <c r="H14" s="23" t="s">
        <v>214</v>
      </c>
      <c r="I14" s="24"/>
      <c r="J14" s="26" t="s">
        <v>255</v>
      </c>
      <c r="K14" s="26" t="s">
        <v>256</v>
      </c>
      <c r="L14" s="26" t="s">
        <v>214</v>
      </c>
      <c r="M14" s="27"/>
      <c r="N14" s="27"/>
    </row>
    <row r="15" spans="1:14" ht="26.4" x14ac:dyDescent="0.3">
      <c r="A15" s="28">
        <v>14</v>
      </c>
      <c r="B15" s="26" t="s">
        <v>32</v>
      </c>
      <c r="C15" s="26" t="s">
        <v>68</v>
      </c>
      <c r="D15" s="26" t="s">
        <v>69</v>
      </c>
      <c r="E15" s="29" t="s">
        <v>35</v>
      </c>
      <c r="F15" s="26" t="s">
        <v>218</v>
      </c>
      <c r="G15" s="30" t="s">
        <v>236</v>
      </c>
      <c r="H15" s="32" t="s">
        <v>226</v>
      </c>
      <c r="I15" s="26" t="s">
        <v>239</v>
      </c>
      <c r="J15" s="26" t="s">
        <v>257</v>
      </c>
      <c r="K15" s="26" t="s">
        <v>258</v>
      </c>
      <c r="L15" s="26" t="s">
        <v>224</v>
      </c>
      <c r="M15" s="27"/>
      <c r="N15" s="27"/>
    </row>
    <row r="16" spans="1:14" ht="39.6" x14ac:dyDescent="0.3">
      <c r="A16" s="28">
        <v>15</v>
      </c>
      <c r="B16" s="26" t="s">
        <v>32</v>
      </c>
      <c r="C16" s="26" t="s">
        <v>68</v>
      </c>
      <c r="D16" s="26" t="s">
        <v>259</v>
      </c>
      <c r="E16" s="29" t="s">
        <v>35</v>
      </c>
      <c r="F16" s="26" t="s">
        <v>218</v>
      </c>
      <c r="G16" s="30" t="s">
        <v>239</v>
      </c>
      <c r="H16" s="32" t="s">
        <v>226</v>
      </c>
      <c r="I16" s="26" t="s">
        <v>245</v>
      </c>
      <c r="J16" s="26" t="s">
        <v>260</v>
      </c>
      <c r="K16" s="26" t="s">
        <v>261</v>
      </c>
      <c r="L16" s="33" t="s">
        <v>262</v>
      </c>
      <c r="M16" s="27"/>
      <c r="N16" s="27"/>
    </row>
    <row r="17" spans="1:14" ht="26.4" x14ac:dyDescent="0.3">
      <c r="A17" s="28">
        <v>16</v>
      </c>
      <c r="B17" s="26" t="s">
        <v>32</v>
      </c>
      <c r="C17" s="26" t="s">
        <v>68</v>
      </c>
      <c r="D17" s="26" t="s">
        <v>71</v>
      </c>
      <c r="E17" s="29" t="s">
        <v>35</v>
      </c>
      <c r="F17" s="26" t="s">
        <v>218</v>
      </c>
      <c r="G17" s="30" t="s">
        <v>236</v>
      </c>
      <c r="H17" s="32" t="s">
        <v>226</v>
      </c>
      <c r="I17" s="26" t="s">
        <v>263</v>
      </c>
      <c r="J17" s="26" t="s">
        <v>264</v>
      </c>
      <c r="K17" s="26" t="s">
        <v>265</v>
      </c>
      <c r="L17" s="26" t="s">
        <v>224</v>
      </c>
      <c r="M17" s="27"/>
      <c r="N17" s="27"/>
    </row>
    <row r="18" spans="1:14" ht="26.4" x14ac:dyDescent="0.3">
      <c r="A18" s="28">
        <v>17</v>
      </c>
      <c r="B18" s="26" t="s">
        <v>32</v>
      </c>
      <c r="C18" s="26" t="s">
        <v>68</v>
      </c>
      <c r="D18" s="26" t="s">
        <v>72</v>
      </c>
      <c r="E18" s="29" t="s">
        <v>35</v>
      </c>
      <c r="F18" s="26" t="s">
        <v>218</v>
      </c>
      <c r="G18" s="30" t="s">
        <v>225</v>
      </c>
      <c r="H18" s="32" t="s">
        <v>226</v>
      </c>
      <c r="I18" s="26" t="s">
        <v>239</v>
      </c>
      <c r="J18" s="26" t="s">
        <v>266</v>
      </c>
      <c r="K18" s="26" t="s">
        <v>267</v>
      </c>
      <c r="L18" s="26" t="s">
        <v>224</v>
      </c>
      <c r="M18" s="27"/>
      <c r="N18" s="27"/>
    </row>
    <row r="19" spans="1:14" ht="26.4" x14ac:dyDescent="0.3">
      <c r="A19" s="28">
        <v>18</v>
      </c>
      <c r="B19" s="26" t="s">
        <v>32</v>
      </c>
      <c r="C19" s="26" t="s">
        <v>68</v>
      </c>
      <c r="D19" s="26" t="s">
        <v>73</v>
      </c>
      <c r="E19" s="29"/>
      <c r="F19" s="26" t="s">
        <v>218</v>
      </c>
      <c r="G19" s="30" t="s">
        <v>236</v>
      </c>
      <c r="H19" s="32" t="s">
        <v>226</v>
      </c>
      <c r="I19" s="26" t="s">
        <v>225</v>
      </c>
      <c r="J19" s="26" t="s">
        <v>268</v>
      </c>
      <c r="K19" s="26" t="s">
        <v>269</v>
      </c>
      <c r="L19" s="26" t="s">
        <v>224</v>
      </c>
      <c r="M19" s="27"/>
      <c r="N19" s="27"/>
    </row>
    <row r="20" spans="1:14" ht="26.4" x14ac:dyDescent="0.3">
      <c r="A20" s="28">
        <v>19</v>
      </c>
      <c r="B20" s="26" t="s">
        <v>32</v>
      </c>
      <c r="C20" s="26" t="s">
        <v>45</v>
      </c>
      <c r="D20" s="26" t="s">
        <v>74</v>
      </c>
      <c r="E20" s="29"/>
      <c r="F20" s="26" t="s">
        <v>218</v>
      </c>
      <c r="G20" s="30" t="s">
        <v>239</v>
      </c>
      <c r="H20" s="32" t="s">
        <v>226</v>
      </c>
      <c r="I20" s="26" t="s">
        <v>225</v>
      </c>
      <c r="J20" s="26" t="s">
        <v>270</v>
      </c>
      <c r="K20" s="26" t="s">
        <v>271</v>
      </c>
      <c r="L20" s="26" t="s">
        <v>224</v>
      </c>
      <c r="M20" s="27"/>
      <c r="N20" s="27"/>
    </row>
    <row r="21" spans="1:14" ht="26.4" x14ac:dyDescent="0.3">
      <c r="A21" s="28">
        <v>20</v>
      </c>
      <c r="B21" s="26" t="s">
        <v>32</v>
      </c>
      <c r="C21" s="26" t="s">
        <v>68</v>
      </c>
      <c r="D21" s="26" t="s">
        <v>272</v>
      </c>
      <c r="E21" s="29" t="s">
        <v>35</v>
      </c>
      <c r="F21" s="26" t="s">
        <v>218</v>
      </c>
      <c r="G21" s="30" t="s">
        <v>239</v>
      </c>
      <c r="H21" s="32" t="s">
        <v>226</v>
      </c>
      <c r="I21" s="26" t="s">
        <v>236</v>
      </c>
      <c r="J21" s="26" t="s">
        <v>273</v>
      </c>
      <c r="K21" s="26" t="s">
        <v>274</v>
      </c>
      <c r="L21" s="26" t="s">
        <v>224</v>
      </c>
      <c r="M21" s="27"/>
      <c r="N21" s="27"/>
    </row>
    <row r="22" spans="1:14" ht="39.6" x14ac:dyDescent="0.3">
      <c r="A22" s="28">
        <v>21</v>
      </c>
      <c r="B22" s="26" t="s">
        <v>76</v>
      </c>
      <c r="C22" s="26" t="s">
        <v>275</v>
      </c>
      <c r="D22" s="26" t="s">
        <v>78</v>
      </c>
      <c r="E22" s="29" t="s">
        <v>47</v>
      </c>
      <c r="F22" s="26" t="s">
        <v>276</v>
      </c>
      <c r="G22" s="30" t="s">
        <v>277</v>
      </c>
      <c r="H22" s="34" t="s">
        <v>278</v>
      </c>
      <c r="I22" s="26" t="s">
        <v>263</v>
      </c>
      <c r="J22" s="26" t="s">
        <v>279</v>
      </c>
      <c r="K22" s="26" t="s">
        <v>280</v>
      </c>
      <c r="L22" s="33" t="s">
        <v>262</v>
      </c>
      <c r="M22" s="27"/>
      <c r="N22" s="27"/>
    </row>
    <row r="23" spans="1:14" ht="26.4" x14ac:dyDescent="0.3">
      <c r="A23" s="28">
        <v>22</v>
      </c>
      <c r="B23" s="26" t="s">
        <v>76</v>
      </c>
      <c r="C23" s="26" t="s">
        <v>275</v>
      </c>
      <c r="D23" s="26" t="s">
        <v>79</v>
      </c>
      <c r="E23" s="29" t="s">
        <v>47</v>
      </c>
      <c r="F23" s="26" t="s">
        <v>276</v>
      </c>
      <c r="G23" s="30" t="s">
        <v>281</v>
      </c>
      <c r="H23" s="31" t="s">
        <v>220</v>
      </c>
      <c r="I23" s="26" t="s">
        <v>282</v>
      </c>
      <c r="J23" s="26" t="s">
        <v>283</v>
      </c>
      <c r="K23" s="26" t="s">
        <v>284</v>
      </c>
      <c r="L23" s="33" t="s">
        <v>262</v>
      </c>
      <c r="M23" s="27"/>
      <c r="N23" s="27"/>
    </row>
    <row r="24" spans="1:14" ht="26.4" x14ac:dyDescent="0.3">
      <c r="A24" s="28">
        <v>23</v>
      </c>
      <c r="B24" s="26" t="s">
        <v>76</v>
      </c>
      <c r="C24" s="26" t="s">
        <v>275</v>
      </c>
      <c r="D24" s="26" t="s">
        <v>80</v>
      </c>
      <c r="E24" s="29" t="s">
        <v>47</v>
      </c>
      <c r="F24" s="26" t="s">
        <v>276</v>
      </c>
      <c r="G24" s="30" t="s">
        <v>281</v>
      </c>
      <c r="H24" s="31" t="s">
        <v>220</v>
      </c>
      <c r="I24" s="26" t="s">
        <v>277</v>
      </c>
      <c r="J24" s="26" t="s">
        <v>285</v>
      </c>
      <c r="K24" s="26" t="s">
        <v>286</v>
      </c>
      <c r="L24" s="26" t="s">
        <v>224</v>
      </c>
      <c r="M24" s="27"/>
      <c r="N24" s="27"/>
    </row>
    <row r="25" spans="1:14" ht="26.4" x14ac:dyDescent="0.3">
      <c r="A25" s="28">
        <v>24</v>
      </c>
      <c r="B25" s="26" t="s">
        <v>76</v>
      </c>
      <c r="C25" s="26" t="s">
        <v>275</v>
      </c>
      <c r="D25" s="26" t="s">
        <v>81</v>
      </c>
      <c r="E25" s="29" t="s">
        <v>47</v>
      </c>
      <c r="F25" s="26" t="s">
        <v>287</v>
      </c>
      <c r="G25" s="30" t="s">
        <v>288</v>
      </c>
      <c r="H25" s="34" t="s">
        <v>278</v>
      </c>
      <c r="I25" s="26" t="s">
        <v>281</v>
      </c>
      <c r="J25" s="26" t="s">
        <v>289</v>
      </c>
      <c r="K25" s="26" t="s">
        <v>290</v>
      </c>
      <c r="L25" s="26" t="s">
        <v>224</v>
      </c>
      <c r="M25" s="27"/>
      <c r="N25" s="27"/>
    </row>
    <row r="26" spans="1:14" ht="26.4" x14ac:dyDescent="0.3">
      <c r="A26" s="28">
        <v>25</v>
      </c>
      <c r="B26" s="26" t="s">
        <v>76</v>
      </c>
      <c r="C26" s="26" t="s">
        <v>291</v>
      </c>
      <c r="D26" s="26" t="s">
        <v>85</v>
      </c>
      <c r="E26" s="29" t="s">
        <v>47</v>
      </c>
      <c r="F26" s="26" t="s">
        <v>276</v>
      </c>
      <c r="G26" s="30" t="s">
        <v>277</v>
      </c>
      <c r="H26" s="34" t="s">
        <v>278</v>
      </c>
      <c r="I26" s="26" t="s">
        <v>292</v>
      </c>
      <c r="J26" s="26" t="s">
        <v>293</v>
      </c>
      <c r="K26" s="26" t="s">
        <v>294</v>
      </c>
      <c r="L26" s="26" t="s">
        <v>224</v>
      </c>
      <c r="M26" s="27"/>
      <c r="N26" s="27"/>
    </row>
    <row r="27" spans="1:14" ht="26.4" x14ac:dyDescent="0.3">
      <c r="A27" s="28">
        <v>26</v>
      </c>
      <c r="B27" s="26" t="s">
        <v>76</v>
      </c>
      <c r="C27" s="26" t="s">
        <v>291</v>
      </c>
      <c r="D27" s="26" t="s">
        <v>86</v>
      </c>
      <c r="E27" s="29" t="s">
        <v>47</v>
      </c>
      <c r="F27" s="26" t="s">
        <v>276</v>
      </c>
      <c r="G27" s="30" t="s">
        <v>277</v>
      </c>
      <c r="H27" s="34" t="s">
        <v>278</v>
      </c>
      <c r="I27" s="26" t="s">
        <v>295</v>
      </c>
      <c r="J27" s="26" t="s">
        <v>296</v>
      </c>
      <c r="K27" s="26" t="s">
        <v>297</v>
      </c>
      <c r="L27" s="26" t="s">
        <v>224</v>
      </c>
      <c r="M27" s="27"/>
      <c r="N27" s="27"/>
    </row>
    <row r="28" spans="1:14" ht="26.4" x14ac:dyDescent="0.3">
      <c r="A28" s="28">
        <v>27</v>
      </c>
      <c r="B28" s="26" t="s">
        <v>76</v>
      </c>
      <c r="C28" s="26" t="s">
        <v>291</v>
      </c>
      <c r="D28" s="26" t="s">
        <v>87</v>
      </c>
      <c r="E28" s="29" t="s">
        <v>47</v>
      </c>
      <c r="F28" s="26" t="s">
        <v>276</v>
      </c>
      <c r="G28" s="30" t="s">
        <v>277</v>
      </c>
      <c r="H28" s="34" t="s">
        <v>278</v>
      </c>
      <c r="I28" s="26" t="s">
        <v>292</v>
      </c>
      <c r="J28" s="26" t="s">
        <v>298</v>
      </c>
      <c r="K28" s="26" t="s">
        <v>299</v>
      </c>
      <c r="L28" s="26" t="s">
        <v>224</v>
      </c>
      <c r="M28" s="27"/>
      <c r="N28" s="27"/>
    </row>
    <row r="29" spans="1:14" ht="26.4" x14ac:dyDescent="0.3">
      <c r="A29" s="28">
        <v>28</v>
      </c>
      <c r="B29" s="26" t="s">
        <v>76</v>
      </c>
      <c r="C29" s="26" t="s">
        <v>88</v>
      </c>
      <c r="D29" s="26" t="s">
        <v>89</v>
      </c>
      <c r="E29" s="29" t="s">
        <v>47</v>
      </c>
      <c r="F29" s="26" t="s">
        <v>276</v>
      </c>
      <c r="G29" s="30" t="s">
        <v>277</v>
      </c>
      <c r="H29" s="34" t="s">
        <v>278</v>
      </c>
      <c r="I29" s="26" t="s">
        <v>263</v>
      </c>
      <c r="J29" s="26" t="s">
        <v>300</v>
      </c>
      <c r="K29" s="26" t="s">
        <v>301</v>
      </c>
      <c r="L29" s="26" t="s">
        <v>224</v>
      </c>
      <c r="M29" s="27"/>
      <c r="N29" s="27"/>
    </row>
    <row r="30" spans="1:14" ht="26.4" x14ac:dyDescent="0.3">
      <c r="A30" s="28">
        <v>29</v>
      </c>
      <c r="B30" s="26" t="s">
        <v>76</v>
      </c>
      <c r="C30" s="26" t="s">
        <v>88</v>
      </c>
      <c r="D30" s="26" t="s">
        <v>90</v>
      </c>
      <c r="E30" s="29" t="s">
        <v>47</v>
      </c>
      <c r="F30" s="26" t="s">
        <v>276</v>
      </c>
      <c r="G30" s="30" t="s">
        <v>277</v>
      </c>
      <c r="H30" s="34" t="s">
        <v>278</v>
      </c>
      <c r="I30" s="26" t="s">
        <v>302</v>
      </c>
      <c r="J30" s="26" t="s">
        <v>303</v>
      </c>
      <c r="K30" s="26" t="s">
        <v>304</v>
      </c>
      <c r="L30" s="26" t="s">
        <v>224</v>
      </c>
      <c r="M30" s="27"/>
      <c r="N30" s="27"/>
    </row>
    <row r="31" spans="1:14" ht="26.4" x14ac:dyDescent="0.3">
      <c r="A31" s="28">
        <v>30</v>
      </c>
      <c r="B31" s="26" t="s">
        <v>76</v>
      </c>
      <c r="C31" s="26" t="s">
        <v>88</v>
      </c>
      <c r="D31" s="26" t="s">
        <v>305</v>
      </c>
      <c r="E31" s="29" t="s">
        <v>47</v>
      </c>
      <c r="F31" s="26" t="s">
        <v>276</v>
      </c>
      <c r="G31" s="30" t="s">
        <v>302</v>
      </c>
      <c r="H31" s="31" t="s">
        <v>220</v>
      </c>
      <c r="I31" s="26" t="s">
        <v>295</v>
      </c>
      <c r="J31" s="26" t="s">
        <v>306</v>
      </c>
      <c r="K31" s="26" t="s">
        <v>307</v>
      </c>
      <c r="L31" s="26" t="s">
        <v>224</v>
      </c>
      <c r="M31" s="27"/>
      <c r="N31" s="27"/>
    </row>
    <row r="32" spans="1:14" ht="39.6" x14ac:dyDescent="0.3">
      <c r="A32" s="28">
        <v>31</v>
      </c>
      <c r="B32" s="26" t="s">
        <v>76</v>
      </c>
      <c r="C32" s="26" t="s">
        <v>88</v>
      </c>
      <c r="D32" s="26" t="s">
        <v>92</v>
      </c>
      <c r="E32" s="29" t="s">
        <v>47</v>
      </c>
      <c r="F32" s="26" t="s">
        <v>276</v>
      </c>
      <c r="G32" s="30" t="s">
        <v>302</v>
      </c>
      <c r="H32" s="31" t="s">
        <v>220</v>
      </c>
      <c r="I32" s="26" t="s">
        <v>263</v>
      </c>
      <c r="J32" s="26" t="s">
        <v>308</v>
      </c>
      <c r="K32" s="26" t="s">
        <v>309</v>
      </c>
      <c r="L32" s="33" t="s">
        <v>262</v>
      </c>
      <c r="M32" s="27"/>
      <c r="N32" s="27"/>
    </row>
    <row r="33" spans="1:14" ht="26.4" x14ac:dyDescent="0.3">
      <c r="A33" s="28">
        <v>32</v>
      </c>
      <c r="B33" s="26" t="s">
        <v>76</v>
      </c>
      <c r="C33" s="26" t="s">
        <v>88</v>
      </c>
      <c r="D33" s="26" t="s">
        <v>310</v>
      </c>
      <c r="E33" s="29"/>
      <c r="F33" s="26" t="s">
        <v>311</v>
      </c>
      <c r="G33" s="30" t="s">
        <v>263</v>
      </c>
      <c r="H33" s="31" t="s">
        <v>220</v>
      </c>
      <c r="I33" s="26" t="s">
        <v>302</v>
      </c>
      <c r="J33" s="26" t="s">
        <v>312</v>
      </c>
      <c r="K33" s="26" t="s">
        <v>313</v>
      </c>
      <c r="L33" s="26" t="s">
        <v>224</v>
      </c>
      <c r="M33" s="27"/>
      <c r="N33" s="27"/>
    </row>
    <row r="34" spans="1:14" ht="26.4" x14ac:dyDescent="0.3">
      <c r="A34" s="28">
        <v>33</v>
      </c>
      <c r="B34" s="26" t="s">
        <v>76</v>
      </c>
      <c r="C34" s="26" t="s">
        <v>93</v>
      </c>
      <c r="D34" s="26" t="s">
        <v>94</v>
      </c>
      <c r="E34" s="29" t="s">
        <v>35</v>
      </c>
      <c r="F34" s="26" t="s">
        <v>314</v>
      </c>
      <c r="G34" s="30" t="s">
        <v>227</v>
      </c>
      <c r="H34" s="32" t="s">
        <v>226</v>
      </c>
      <c r="I34" s="26" t="s">
        <v>219</v>
      </c>
      <c r="J34" s="26" t="s">
        <v>315</v>
      </c>
      <c r="K34" s="26" t="s">
        <v>316</v>
      </c>
      <c r="L34" s="26" t="s">
        <v>224</v>
      </c>
      <c r="M34" s="27"/>
      <c r="N34" s="27"/>
    </row>
    <row r="35" spans="1:14" ht="26.4" x14ac:dyDescent="0.3">
      <c r="A35" s="28">
        <v>34</v>
      </c>
      <c r="B35" s="26" t="s">
        <v>76</v>
      </c>
      <c r="C35" s="26" t="s">
        <v>93</v>
      </c>
      <c r="D35" s="26" t="s">
        <v>95</v>
      </c>
      <c r="E35" s="29" t="s">
        <v>35</v>
      </c>
      <c r="F35" s="26" t="s">
        <v>276</v>
      </c>
      <c r="G35" s="30" t="s">
        <v>292</v>
      </c>
      <c r="H35" s="31" t="s">
        <v>220</v>
      </c>
      <c r="I35" s="26" t="s">
        <v>227</v>
      </c>
      <c r="J35" s="26" t="s">
        <v>317</v>
      </c>
      <c r="K35" s="26" t="s">
        <v>318</v>
      </c>
      <c r="L35" s="26" t="s">
        <v>224</v>
      </c>
      <c r="M35" s="27"/>
      <c r="N35" s="27"/>
    </row>
    <row r="36" spans="1:14" ht="26.4" x14ac:dyDescent="0.3">
      <c r="A36" s="28">
        <v>35</v>
      </c>
      <c r="B36" s="26" t="s">
        <v>76</v>
      </c>
      <c r="C36" s="26" t="s">
        <v>93</v>
      </c>
      <c r="D36" s="26" t="s">
        <v>96</v>
      </c>
      <c r="E36" s="29" t="s">
        <v>35</v>
      </c>
      <c r="F36" s="26" t="s">
        <v>314</v>
      </c>
      <c r="G36" s="30" t="s">
        <v>227</v>
      </c>
      <c r="H36" s="32" t="s">
        <v>226</v>
      </c>
      <c r="I36" s="26" t="s">
        <v>319</v>
      </c>
      <c r="J36" s="26" t="s">
        <v>320</v>
      </c>
      <c r="K36" s="26" t="s">
        <v>321</v>
      </c>
      <c r="L36" s="26" t="s">
        <v>224</v>
      </c>
      <c r="M36" s="27"/>
      <c r="N36" s="27"/>
    </row>
    <row r="37" spans="1:14" ht="26.4" x14ac:dyDescent="0.3">
      <c r="A37" s="28">
        <v>36</v>
      </c>
      <c r="B37" s="26" t="s">
        <v>76</v>
      </c>
      <c r="C37" s="26" t="s">
        <v>93</v>
      </c>
      <c r="D37" s="26" t="s">
        <v>97</v>
      </c>
      <c r="E37" s="29" t="s">
        <v>35</v>
      </c>
      <c r="F37" s="26" t="s">
        <v>314</v>
      </c>
      <c r="G37" s="30" t="s">
        <v>227</v>
      </c>
      <c r="H37" s="32" t="s">
        <v>226</v>
      </c>
      <c r="I37" s="26" t="s">
        <v>263</v>
      </c>
      <c r="J37" s="26" t="s">
        <v>322</v>
      </c>
      <c r="K37" s="26" t="s">
        <v>323</v>
      </c>
      <c r="L37" s="26" t="s">
        <v>224</v>
      </c>
      <c r="M37" s="27"/>
      <c r="N37" s="27"/>
    </row>
    <row r="38" spans="1:14" ht="26.4" x14ac:dyDescent="0.3">
      <c r="A38" s="28">
        <v>37</v>
      </c>
      <c r="B38" s="26" t="s">
        <v>76</v>
      </c>
      <c r="C38" s="26" t="s">
        <v>93</v>
      </c>
      <c r="D38" s="26" t="s">
        <v>324</v>
      </c>
      <c r="E38" s="29" t="s">
        <v>35</v>
      </c>
      <c r="F38" s="26" t="s">
        <v>311</v>
      </c>
      <c r="G38" s="30" t="s">
        <v>263</v>
      </c>
      <c r="H38" s="31" t="s">
        <v>220</v>
      </c>
      <c r="I38" s="26" t="s">
        <v>227</v>
      </c>
      <c r="J38" s="26" t="s">
        <v>325</v>
      </c>
      <c r="K38" s="26" t="s">
        <v>326</v>
      </c>
      <c r="L38" s="26" t="s">
        <v>224</v>
      </c>
      <c r="M38" s="27"/>
      <c r="N38" s="27"/>
    </row>
    <row r="39" spans="1:14" ht="26.4" x14ac:dyDescent="0.3">
      <c r="A39" s="28">
        <v>38</v>
      </c>
      <c r="B39" s="26" t="s">
        <v>76</v>
      </c>
      <c r="C39" s="26" t="s">
        <v>99</v>
      </c>
      <c r="D39" s="26" t="s">
        <v>327</v>
      </c>
      <c r="E39" s="29" t="s">
        <v>35</v>
      </c>
      <c r="F39" s="26" t="s">
        <v>328</v>
      </c>
      <c r="G39" s="30" t="s">
        <v>329</v>
      </c>
      <c r="H39" s="31" t="s">
        <v>220</v>
      </c>
      <c r="I39" s="26"/>
      <c r="J39" s="26" t="s">
        <v>330</v>
      </c>
      <c r="K39" s="26" t="s">
        <v>331</v>
      </c>
      <c r="L39" s="26" t="s">
        <v>224</v>
      </c>
      <c r="M39" s="27"/>
      <c r="N39" s="27"/>
    </row>
    <row r="40" spans="1:14" ht="26.4" x14ac:dyDescent="0.3">
      <c r="A40" s="28">
        <v>39</v>
      </c>
      <c r="B40" s="26" t="s">
        <v>76</v>
      </c>
      <c r="C40" s="26" t="s">
        <v>99</v>
      </c>
      <c r="D40" s="26" t="s">
        <v>99</v>
      </c>
      <c r="E40" s="29" t="s">
        <v>35</v>
      </c>
      <c r="F40" s="26" t="s">
        <v>328</v>
      </c>
      <c r="G40" s="30" t="s">
        <v>329</v>
      </c>
      <c r="H40" s="31" t="s">
        <v>220</v>
      </c>
      <c r="I40" s="26"/>
      <c r="J40" s="26" t="s">
        <v>332</v>
      </c>
      <c r="K40" s="26" t="s">
        <v>333</v>
      </c>
      <c r="L40" s="26" t="s">
        <v>224</v>
      </c>
      <c r="M40" s="27"/>
      <c r="N40" s="27"/>
    </row>
    <row r="41" spans="1:14" ht="26.4" x14ac:dyDescent="0.3">
      <c r="A41" s="28">
        <v>40</v>
      </c>
      <c r="B41" s="26" t="s">
        <v>76</v>
      </c>
      <c r="C41" s="26" t="s">
        <v>99</v>
      </c>
      <c r="D41" s="26" t="s">
        <v>334</v>
      </c>
      <c r="E41" s="29" t="s">
        <v>35</v>
      </c>
      <c r="F41" s="26" t="s">
        <v>328</v>
      </c>
      <c r="G41" s="30" t="s">
        <v>329</v>
      </c>
      <c r="H41" s="31" t="s">
        <v>220</v>
      </c>
      <c r="I41" s="26" t="s">
        <v>225</v>
      </c>
      <c r="J41" s="26" t="s">
        <v>335</v>
      </c>
      <c r="K41" s="26" t="s">
        <v>336</v>
      </c>
      <c r="L41" s="26" t="s">
        <v>224</v>
      </c>
      <c r="M41" s="27"/>
      <c r="N41" s="27"/>
    </row>
    <row r="42" spans="1:14" ht="26.4" x14ac:dyDescent="0.3">
      <c r="A42" s="28">
        <v>41</v>
      </c>
      <c r="B42" s="26" t="s">
        <v>76</v>
      </c>
      <c r="C42" s="26" t="s">
        <v>102</v>
      </c>
      <c r="D42" s="26" t="s">
        <v>103</v>
      </c>
      <c r="E42" s="29"/>
      <c r="F42" s="26" t="s">
        <v>328</v>
      </c>
      <c r="G42" s="30" t="s">
        <v>329</v>
      </c>
      <c r="H42" s="31" t="s">
        <v>220</v>
      </c>
      <c r="I42" s="26"/>
      <c r="J42" s="26" t="s">
        <v>337</v>
      </c>
      <c r="K42" s="26" t="s">
        <v>338</v>
      </c>
      <c r="L42" s="26" t="s">
        <v>224</v>
      </c>
      <c r="M42" s="27"/>
      <c r="N42" s="27"/>
    </row>
    <row r="43" spans="1:14" ht="26.4" x14ac:dyDescent="0.3">
      <c r="A43" s="28">
        <v>42</v>
      </c>
      <c r="B43" s="26" t="s">
        <v>76</v>
      </c>
      <c r="C43" s="26" t="s">
        <v>102</v>
      </c>
      <c r="D43" s="26" t="s">
        <v>104</v>
      </c>
      <c r="E43" s="29"/>
      <c r="F43" s="26" t="s">
        <v>328</v>
      </c>
      <c r="G43" s="30" t="s">
        <v>329</v>
      </c>
      <c r="H43" s="31" t="s">
        <v>220</v>
      </c>
      <c r="I43" s="26" t="s">
        <v>225</v>
      </c>
      <c r="J43" s="26" t="s">
        <v>339</v>
      </c>
      <c r="K43" s="26" t="s">
        <v>340</v>
      </c>
      <c r="L43" s="26" t="s">
        <v>224</v>
      </c>
      <c r="M43" s="27"/>
      <c r="N43" s="27"/>
    </row>
    <row r="44" spans="1:14" ht="26.4" x14ac:dyDescent="0.3">
      <c r="A44" s="28">
        <v>43</v>
      </c>
      <c r="B44" s="26" t="s">
        <v>76</v>
      </c>
      <c r="C44" s="26" t="s">
        <v>102</v>
      </c>
      <c r="D44" s="26" t="s">
        <v>105</v>
      </c>
      <c r="E44" s="29"/>
      <c r="F44" s="26" t="s">
        <v>328</v>
      </c>
      <c r="G44" s="30" t="s">
        <v>341</v>
      </c>
      <c r="H44" s="32" t="s">
        <v>226</v>
      </c>
      <c r="I44" s="26" t="s">
        <v>263</v>
      </c>
      <c r="J44" s="26" t="s">
        <v>342</v>
      </c>
      <c r="K44" s="26" t="s">
        <v>343</v>
      </c>
      <c r="L44" s="26" t="s">
        <v>224</v>
      </c>
      <c r="M44" s="27"/>
      <c r="N44" s="27"/>
    </row>
    <row r="45" spans="1:14" ht="26.4" x14ac:dyDescent="0.3">
      <c r="A45" s="28">
        <v>44</v>
      </c>
      <c r="B45" s="26" t="s">
        <v>76</v>
      </c>
      <c r="C45" s="26" t="s">
        <v>106</v>
      </c>
      <c r="D45" s="26" t="s">
        <v>107</v>
      </c>
      <c r="E45" s="29"/>
      <c r="F45" s="26" t="s">
        <v>276</v>
      </c>
      <c r="G45" s="30" t="s">
        <v>281</v>
      </c>
      <c r="H45" s="31" t="s">
        <v>220</v>
      </c>
      <c r="I45" s="26" t="s">
        <v>292</v>
      </c>
      <c r="J45" s="26" t="s">
        <v>344</v>
      </c>
      <c r="K45" s="26" t="s">
        <v>345</v>
      </c>
      <c r="L45" s="26" t="s">
        <v>224</v>
      </c>
      <c r="M45" s="27"/>
      <c r="N45" s="27"/>
    </row>
    <row r="46" spans="1:14" ht="26.4" x14ac:dyDescent="0.3">
      <c r="A46" s="28">
        <v>45</v>
      </c>
      <c r="B46" s="26" t="s">
        <v>108</v>
      </c>
      <c r="C46" s="26" t="s">
        <v>109</v>
      </c>
      <c r="D46" s="26" t="s">
        <v>110</v>
      </c>
      <c r="E46" s="29"/>
      <c r="F46" s="26" t="s">
        <v>218</v>
      </c>
      <c r="G46" s="30" t="s">
        <v>225</v>
      </c>
      <c r="H46" s="32" t="s">
        <v>226</v>
      </c>
      <c r="I46" s="26" t="s">
        <v>263</v>
      </c>
      <c r="J46" s="26" t="s">
        <v>346</v>
      </c>
      <c r="K46" s="26" t="s">
        <v>347</v>
      </c>
      <c r="L46" s="26" t="s">
        <v>224</v>
      </c>
      <c r="M46" s="27"/>
      <c r="N46" s="27"/>
    </row>
    <row r="47" spans="1:14" ht="26.4" x14ac:dyDescent="0.3">
      <c r="A47" s="28">
        <v>46</v>
      </c>
      <c r="B47" s="26" t="s">
        <v>108</v>
      </c>
      <c r="C47" s="26" t="s">
        <v>109</v>
      </c>
      <c r="D47" s="26" t="s">
        <v>111</v>
      </c>
      <c r="E47" s="29"/>
      <c r="F47" s="26" t="s">
        <v>218</v>
      </c>
      <c r="G47" s="30" t="s">
        <v>225</v>
      </c>
      <c r="H47" s="32" t="s">
        <v>226</v>
      </c>
      <c r="I47" s="26" t="s">
        <v>329</v>
      </c>
      <c r="J47" s="26" t="s">
        <v>348</v>
      </c>
      <c r="K47" s="26" t="s">
        <v>349</v>
      </c>
      <c r="L47" s="26" t="s">
        <v>224</v>
      </c>
      <c r="M47" s="27"/>
      <c r="N47" s="27"/>
    </row>
    <row r="48" spans="1:14" ht="26.4" x14ac:dyDescent="0.3">
      <c r="A48" s="28">
        <v>47</v>
      </c>
      <c r="B48" s="26" t="s">
        <v>108</v>
      </c>
      <c r="C48" s="26" t="s">
        <v>112</v>
      </c>
      <c r="D48" s="26" t="s">
        <v>113</v>
      </c>
      <c r="E48" s="29"/>
      <c r="F48" s="26" t="s">
        <v>287</v>
      </c>
      <c r="G48" s="30" t="s">
        <v>221</v>
      </c>
      <c r="H48" s="32" t="s">
        <v>226</v>
      </c>
      <c r="I48" s="26" t="s">
        <v>250</v>
      </c>
      <c r="J48" s="26" t="s">
        <v>350</v>
      </c>
      <c r="K48" s="26" t="s">
        <v>351</v>
      </c>
      <c r="L48" s="26" t="s">
        <v>224</v>
      </c>
      <c r="M48" s="27"/>
      <c r="N48" s="27"/>
    </row>
    <row r="49" spans="1:14" ht="26.4" x14ac:dyDescent="0.3">
      <c r="A49" s="28">
        <v>48</v>
      </c>
      <c r="B49" s="26" t="s">
        <v>108</v>
      </c>
      <c r="C49" s="26" t="s">
        <v>112</v>
      </c>
      <c r="D49" s="26" t="s">
        <v>114</v>
      </c>
      <c r="E49" s="29"/>
      <c r="F49" s="26" t="s">
        <v>287</v>
      </c>
      <c r="G49" s="30" t="s">
        <v>221</v>
      </c>
      <c r="H49" s="32" t="s">
        <v>226</v>
      </c>
      <c r="I49" s="26" t="s">
        <v>219</v>
      </c>
      <c r="J49" s="26" t="s">
        <v>352</v>
      </c>
      <c r="K49" s="26" t="s">
        <v>353</v>
      </c>
      <c r="L49" s="26" t="s">
        <v>224</v>
      </c>
      <c r="M49" s="27"/>
      <c r="N49" s="27"/>
    </row>
    <row r="50" spans="1:14" ht="39.6" x14ac:dyDescent="0.3">
      <c r="A50" s="28">
        <v>49</v>
      </c>
      <c r="B50" s="26" t="s">
        <v>108</v>
      </c>
      <c r="C50" s="26" t="s">
        <v>115</v>
      </c>
      <c r="D50" s="26" t="s">
        <v>116</v>
      </c>
      <c r="E50" s="29"/>
      <c r="F50" s="26" t="s">
        <v>218</v>
      </c>
      <c r="G50" s="30" t="s">
        <v>354</v>
      </c>
      <c r="H50" s="31" t="s">
        <v>220</v>
      </c>
      <c r="I50" s="26" t="s">
        <v>219</v>
      </c>
      <c r="J50" s="26" t="s">
        <v>355</v>
      </c>
      <c r="K50" s="26" t="s">
        <v>356</v>
      </c>
      <c r="L50" s="26" t="s">
        <v>224</v>
      </c>
      <c r="M50" s="27"/>
      <c r="N50" s="27"/>
    </row>
    <row r="51" spans="1:14" ht="39.6" x14ac:dyDescent="0.3">
      <c r="A51" s="28">
        <v>50</v>
      </c>
      <c r="B51" s="26" t="s">
        <v>108</v>
      </c>
      <c r="C51" s="26" t="s">
        <v>115</v>
      </c>
      <c r="D51" s="26" t="s">
        <v>117</v>
      </c>
      <c r="E51" s="29"/>
      <c r="F51" s="26" t="s">
        <v>218</v>
      </c>
      <c r="G51" s="30" t="s">
        <v>219</v>
      </c>
      <c r="H51" s="31" t="s">
        <v>220</v>
      </c>
      <c r="I51" s="26" t="s">
        <v>354</v>
      </c>
      <c r="J51" s="26" t="s">
        <v>357</v>
      </c>
      <c r="K51" s="26" t="s">
        <v>358</v>
      </c>
      <c r="L51" s="26" t="s">
        <v>224</v>
      </c>
      <c r="M51" s="27"/>
      <c r="N51" s="27"/>
    </row>
    <row r="52" spans="1:14" ht="39.6" x14ac:dyDescent="0.3">
      <c r="A52" s="28">
        <v>51</v>
      </c>
      <c r="B52" s="26" t="s">
        <v>108</v>
      </c>
      <c r="C52" s="26" t="s">
        <v>115</v>
      </c>
      <c r="D52" s="26" t="s">
        <v>118</v>
      </c>
      <c r="E52" s="29"/>
      <c r="F52" s="26" t="s">
        <v>218</v>
      </c>
      <c r="G52" s="30" t="s">
        <v>219</v>
      </c>
      <c r="H52" s="31" t="s">
        <v>220</v>
      </c>
      <c r="I52" s="26" t="s">
        <v>354</v>
      </c>
      <c r="J52" s="26" t="s">
        <v>359</v>
      </c>
      <c r="K52" s="26" t="s">
        <v>360</v>
      </c>
      <c r="L52" s="26" t="s">
        <v>224</v>
      </c>
      <c r="M52" s="27"/>
      <c r="N52" s="27"/>
    </row>
    <row r="53" spans="1:14" ht="39.6" x14ac:dyDescent="0.3">
      <c r="A53" s="28">
        <v>52</v>
      </c>
      <c r="B53" s="26" t="s">
        <v>108</v>
      </c>
      <c r="C53" s="26" t="s">
        <v>115</v>
      </c>
      <c r="D53" s="26" t="s">
        <v>119</v>
      </c>
      <c r="E53" s="29"/>
      <c r="F53" s="26" t="s">
        <v>218</v>
      </c>
      <c r="G53" s="30" t="s">
        <v>354</v>
      </c>
      <c r="H53" s="31" t="s">
        <v>220</v>
      </c>
      <c r="I53" s="26" t="s">
        <v>221</v>
      </c>
      <c r="J53" s="26" t="s">
        <v>361</v>
      </c>
      <c r="K53" s="26" t="s">
        <v>362</v>
      </c>
      <c r="L53" s="26" t="s">
        <v>224</v>
      </c>
      <c r="M53" s="27"/>
      <c r="N53" s="27"/>
    </row>
    <row r="54" spans="1:14" ht="26.4" x14ac:dyDescent="0.3">
      <c r="A54" s="28">
        <v>53</v>
      </c>
      <c r="B54" s="26" t="s">
        <v>108</v>
      </c>
      <c r="C54" s="26" t="s">
        <v>115</v>
      </c>
      <c r="D54" s="26" t="s">
        <v>120</v>
      </c>
      <c r="E54" s="29"/>
      <c r="F54" s="26" t="s">
        <v>218</v>
      </c>
      <c r="G54" s="30" t="s">
        <v>219</v>
      </c>
      <c r="H54" s="31" t="s">
        <v>220</v>
      </c>
      <c r="I54" s="26" t="s">
        <v>221</v>
      </c>
      <c r="J54" s="26" t="s">
        <v>363</v>
      </c>
      <c r="K54" s="26" t="s">
        <v>364</v>
      </c>
      <c r="L54" s="26" t="s">
        <v>224</v>
      </c>
      <c r="M54" s="27"/>
      <c r="N54" s="27"/>
    </row>
    <row r="55" spans="1:14" ht="39.6" x14ac:dyDescent="0.3">
      <c r="A55" s="28">
        <v>54</v>
      </c>
      <c r="B55" s="26" t="s">
        <v>108</v>
      </c>
      <c r="C55" s="26" t="s">
        <v>121</v>
      </c>
      <c r="D55" s="26" t="s">
        <v>122</v>
      </c>
      <c r="E55" s="29"/>
      <c r="F55" s="26" t="s">
        <v>218</v>
      </c>
      <c r="G55" s="30" t="s">
        <v>354</v>
      </c>
      <c r="H55" s="31" t="s">
        <v>220</v>
      </c>
      <c r="I55" s="26" t="s">
        <v>221</v>
      </c>
      <c r="J55" s="26" t="s">
        <v>365</v>
      </c>
      <c r="K55" s="26" t="s">
        <v>366</v>
      </c>
      <c r="L55" s="26" t="s">
        <v>224</v>
      </c>
      <c r="M55" s="27"/>
      <c r="N55" s="27"/>
    </row>
    <row r="56" spans="1:14" ht="39.6" x14ac:dyDescent="0.3">
      <c r="A56" s="28">
        <v>55</v>
      </c>
      <c r="B56" s="26" t="s">
        <v>108</v>
      </c>
      <c r="C56" s="26" t="s">
        <v>121</v>
      </c>
      <c r="D56" s="26" t="s">
        <v>123</v>
      </c>
      <c r="E56" s="29"/>
      <c r="F56" s="26" t="s">
        <v>218</v>
      </c>
      <c r="G56" s="30" t="s">
        <v>354</v>
      </c>
      <c r="H56" s="31" t="s">
        <v>220</v>
      </c>
      <c r="I56" s="26"/>
      <c r="J56" s="26" t="s">
        <v>367</v>
      </c>
      <c r="K56" s="26" t="s">
        <v>368</v>
      </c>
      <c r="L56" s="26" t="s">
        <v>224</v>
      </c>
      <c r="M56" s="27"/>
      <c r="N56" s="27"/>
    </row>
    <row r="57" spans="1:14" ht="26.4" x14ac:dyDescent="0.3">
      <c r="A57" s="28">
        <v>56</v>
      </c>
      <c r="B57" s="26" t="s">
        <v>108</v>
      </c>
      <c r="C57" s="26" t="s">
        <v>124</v>
      </c>
      <c r="D57" s="26" t="s">
        <v>125</v>
      </c>
      <c r="E57" s="29"/>
      <c r="F57" s="26" t="s">
        <v>287</v>
      </c>
      <c r="G57" s="30" t="s">
        <v>230</v>
      </c>
      <c r="H57" s="32" t="s">
        <v>226</v>
      </c>
      <c r="I57" s="26" t="s">
        <v>245</v>
      </c>
      <c r="J57" s="26" t="s">
        <v>369</v>
      </c>
      <c r="K57" s="26" t="s">
        <v>370</v>
      </c>
      <c r="L57" s="26" t="s">
        <v>224</v>
      </c>
      <c r="M57" s="27"/>
      <c r="N57" s="27"/>
    </row>
    <row r="58" spans="1:14" ht="26.4" x14ac:dyDescent="0.3">
      <c r="A58" s="28">
        <v>57</v>
      </c>
      <c r="B58" s="26" t="s">
        <v>108</v>
      </c>
      <c r="C58" s="26" t="s">
        <v>124</v>
      </c>
      <c r="D58" s="26" t="s">
        <v>126</v>
      </c>
      <c r="E58" s="29"/>
      <c r="F58" s="26" t="s">
        <v>287</v>
      </c>
      <c r="G58" s="30" t="s">
        <v>230</v>
      </c>
      <c r="H58" s="32" t="s">
        <v>226</v>
      </c>
      <c r="I58" s="26" t="s">
        <v>219</v>
      </c>
      <c r="J58" s="26" t="s">
        <v>371</v>
      </c>
      <c r="K58" s="26" t="s">
        <v>372</v>
      </c>
      <c r="L58" s="26" t="s">
        <v>224</v>
      </c>
      <c r="M58" s="27"/>
      <c r="N58" s="27"/>
    </row>
    <row r="59" spans="1:14" ht="39.6" x14ac:dyDescent="0.3">
      <c r="A59" s="28">
        <v>58</v>
      </c>
      <c r="B59" s="26" t="s">
        <v>108</v>
      </c>
      <c r="C59" s="26" t="s">
        <v>124</v>
      </c>
      <c r="D59" s="26" t="s">
        <v>127</v>
      </c>
      <c r="E59" s="29"/>
      <c r="F59" s="26" t="s">
        <v>218</v>
      </c>
      <c r="G59" s="30" t="s">
        <v>219</v>
      </c>
      <c r="H59" s="31" t="s">
        <v>220</v>
      </c>
      <c r="I59" s="26" t="s">
        <v>354</v>
      </c>
      <c r="J59" s="26" t="s">
        <v>373</v>
      </c>
      <c r="K59" s="26" t="s">
        <v>374</v>
      </c>
      <c r="L59" s="26" t="s">
        <v>224</v>
      </c>
      <c r="M59" s="27"/>
      <c r="N59" s="27"/>
    </row>
    <row r="60" spans="1:14" ht="26.4" x14ac:dyDescent="0.3">
      <c r="A60" s="28">
        <v>59</v>
      </c>
      <c r="B60" s="26" t="s">
        <v>108</v>
      </c>
      <c r="C60" s="26" t="s">
        <v>124</v>
      </c>
      <c r="D60" s="26" t="s">
        <v>128</v>
      </c>
      <c r="E60" s="29"/>
      <c r="F60" s="26" t="s">
        <v>287</v>
      </c>
      <c r="G60" s="30" t="s">
        <v>230</v>
      </c>
      <c r="H60" s="32" t="s">
        <v>226</v>
      </c>
      <c r="I60" s="26" t="s">
        <v>236</v>
      </c>
      <c r="J60" s="26" t="s">
        <v>375</v>
      </c>
      <c r="K60" s="26" t="s">
        <v>376</v>
      </c>
      <c r="L60" s="26" t="s">
        <v>224</v>
      </c>
      <c r="M60" s="27"/>
      <c r="N60" s="27"/>
    </row>
    <row r="61" spans="1:14" ht="26.4" x14ac:dyDescent="0.3">
      <c r="A61" s="28">
        <v>60</v>
      </c>
      <c r="B61" s="26" t="s">
        <v>108</v>
      </c>
      <c r="C61" s="26" t="s">
        <v>377</v>
      </c>
      <c r="D61" s="26" t="s">
        <v>130</v>
      </c>
      <c r="E61" s="29"/>
      <c r="F61" s="26" t="s">
        <v>276</v>
      </c>
      <c r="G61" s="30" t="s">
        <v>378</v>
      </c>
      <c r="H61" s="31" t="s">
        <v>220</v>
      </c>
      <c r="I61" s="26" t="s">
        <v>302</v>
      </c>
      <c r="J61" s="26" t="s">
        <v>379</v>
      </c>
      <c r="K61" s="26" t="s">
        <v>380</v>
      </c>
      <c r="L61" s="26" t="s">
        <v>224</v>
      </c>
      <c r="M61" s="27"/>
      <c r="N61" s="27"/>
    </row>
    <row r="62" spans="1:14" ht="26.4" x14ac:dyDescent="0.3">
      <c r="A62" s="28">
        <v>61</v>
      </c>
      <c r="B62" s="26" t="s">
        <v>108</v>
      </c>
      <c r="C62" s="26" t="s">
        <v>377</v>
      </c>
      <c r="D62" s="26" t="s">
        <v>131</v>
      </c>
      <c r="E62" s="29"/>
      <c r="F62" s="26" t="s">
        <v>276</v>
      </c>
      <c r="G62" s="30" t="s">
        <v>378</v>
      </c>
      <c r="H62" s="31" t="s">
        <v>220</v>
      </c>
      <c r="I62" s="26" t="s">
        <v>263</v>
      </c>
      <c r="J62" s="26" t="s">
        <v>381</v>
      </c>
      <c r="K62" s="26" t="s">
        <v>382</v>
      </c>
      <c r="L62" s="26" t="s">
        <v>224</v>
      </c>
      <c r="M62" s="27"/>
      <c r="N62" s="27"/>
    </row>
    <row r="63" spans="1:14" ht="26.4" x14ac:dyDescent="0.3">
      <c r="A63" s="28">
        <v>62</v>
      </c>
      <c r="B63" s="26" t="s">
        <v>108</v>
      </c>
      <c r="C63" s="26" t="s">
        <v>377</v>
      </c>
      <c r="D63" s="26" t="s">
        <v>133</v>
      </c>
      <c r="E63" s="29"/>
      <c r="F63" s="26" t="s">
        <v>287</v>
      </c>
      <c r="G63" s="30" t="s">
        <v>383</v>
      </c>
      <c r="H63" s="32" t="s">
        <v>226</v>
      </c>
      <c r="I63" s="26" t="s">
        <v>277</v>
      </c>
      <c r="J63" s="26" t="s">
        <v>384</v>
      </c>
      <c r="K63" s="26" t="s">
        <v>385</v>
      </c>
      <c r="L63" s="26" t="s">
        <v>224</v>
      </c>
      <c r="M63" s="27"/>
      <c r="N63" s="27"/>
    </row>
    <row r="64" spans="1:14" ht="26.4" x14ac:dyDescent="0.3">
      <c r="A64" s="28">
        <v>63</v>
      </c>
      <c r="B64" s="26" t="s">
        <v>134</v>
      </c>
      <c r="C64" s="26" t="s">
        <v>135</v>
      </c>
      <c r="D64" s="26" t="s">
        <v>136</v>
      </c>
      <c r="E64" s="29" t="s">
        <v>137</v>
      </c>
      <c r="F64" s="26" t="s">
        <v>311</v>
      </c>
      <c r="G64" s="30" t="s">
        <v>263</v>
      </c>
      <c r="H64" s="31" t="s">
        <v>220</v>
      </c>
      <c r="I64" s="26"/>
      <c r="J64" s="26" t="s">
        <v>386</v>
      </c>
      <c r="K64" s="26" t="s">
        <v>387</v>
      </c>
      <c r="L64" s="26" t="s">
        <v>224</v>
      </c>
      <c r="M64" s="27"/>
      <c r="N64" s="27"/>
    </row>
    <row r="65" spans="1:14" ht="39.6" x14ac:dyDescent="0.3">
      <c r="A65" s="28">
        <v>64</v>
      </c>
      <c r="B65" s="26" t="s">
        <v>134</v>
      </c>
      <c r="C65" s="26" t="s">
        <v>138</v>
      </c>
      <c r="D65" s="26" t="s">
        <v>139</v>
      </c>
      <c r="E65" s="29"/>
      <c r="F65" s="26" t="s">
        <v>311</v>
      </c>
      <c r="G65" s="30" t="s">
        <v>263</v>
      </c>
      <c r="H65" s="31" t="s">
        <v>220</v>
      </c>
      <c r="I65" s="26" t="s">
        <v>341</v>
      </c>
      <c r="J65" s="26" t="s">
        <v>388</v>
      </c>
      <c r="K65" s="26" t="s">
        <v>389</v>
      </c>
      <c r="L65" s="26" t="s">
        <v>224</v>
      </c>
      <c r="M65" s="27"/>
      <c r="N65" s="27"/>
    </row>
    <row r="66" spans="1:14" ht="39.6" x14ac:dyDescent="0.3">
      <c r="A66" s="28">
        <v>65</v>
      </c>
      <c r="B66" s="26" t="s">
        <v>134</v>
      </c>
      <c r="C66" s="26" t="s">
        <v>138</v>
      </c>
      <c r="D66" s="26" t="s">
        <v>140</v>
      </c>
      <c r="E66" s="29"/>
      <c r="F66" s="26" t="s">
        <v>328</v>
      </c>
      <c r="G66" s="30" t="s">
        <v>329</v>
      </c>
      <c r="H66" s="31" t="s">
        <v>220</v>
      </c>
      <c r="I66" s="26" t="s">
        <v>263</v>
      </c>
      <c r="J66" s="26" t="s">
        <v>390</v>
      </c>
      <c r="K66" s="26" t="s">
        <v>391</v>
      </c>
      <c r="L66" s="26" t="s">
        <v>224</v>
      </c>
      <c r="M66" s="27"/>
      <c r="N66" s="27"/>
    </row>
    <row r="67" spans="1:14" ht="39.6" x14ac:dyDescent="0.3">
      <c r="A67" s="28">
        <v>66</v>
      </c>
      <c r="B67" s="26" t="s">
        <v>134</v>
      </c>
      <c r="C67" s="26" t="s">
        <v>138</v>
      </c>
      <c r="D67" s="26" t="s">
        <v>141</v>
      </c>
      <c r="E67" s="29"/>
      <c r="F67" s="26" t="s">
        <v>328</v>
      </c>
      <c r="G67" s="30" t="s">
        <v>341</v>
      </c>
      <c r="H67" s="32" t="s">
        <v>226</v>
      </c>
      <c r="I67" s="26" t="s">
        <v>329</v>
      </c>
      <c r="J67" s="26" t="s">
        <v>392</v>
      </c>
      <c r="K67" s="26" t="s">
        <v>393</v>
      </c>
      <c r="L67" s="26" t="s">
        <v>224</v>
      </c>
      <c r="M67" s="27"/>
      <c r="N67" s="27"/>
    </row>
    <row r="68" spans="1:14" ht="26.4" x14ac:dyDescent="0.3">
      <c r="A68" s="28">
        <v>67</v>
      </c>
      <c r="B68" s="26" t="s">
        <v>134</v>
      </c>
      <c r="C68" s="26" t="s">
        <v>142</v>
      </c>
      <c r="D68" s="26" t="s">
        <v>394</v>
      </c>
      <c r="E68" s="29"/>
      <c r="F68" s="26" t="s">
        <v>311</v>
      </c>
      <c r="G68" s="30" t="s">
        <v>263</v>
      </c>
      <c r="H68" s="31" t="s">
        <v>220</v>
      </c>
      <c r="I68" s="26"/>
      <c r="J68" s="26" t="s">
        <v>395</v>
      </c>
      <c r="K68" s="26" t="s">
        <v>396</v>
      </c>
      <c r="L68" s="26" t="s">
        <v>224</v>
      </c>
      <c r="M68" s="27"/>
      <c r="N68" s="27"/>
    </row>
    <row r="69" spans="1:14" ht="39.6" x14ac:dyDescent="0.3">
      <c r="A69" s="28">
        <v>68</v>
      </c>
      <c r="B69" s="26" t="s">
        <v>134</v>
      </c>
      <c r="C69" s="26" t="s">
        <v>144</v>
      </c>
      <c r="D69" s="26" t="s">
        <v>145</v>
      </c>
      <c r="E69" s="29"/>
      <c r="F69" s="26" t="s">
        <v>311</v>
      </c>
      <c r="G69" s="30" t="s">
        <v>263</v>
      </c>
      <c r="H69" s="31" t="s">
        <v>220</v>
      </c>
      <c r="I69" s="26" t="s">
        <v>282</v>
      </c>
      <c r="J69" s="26" t="s">
        <v>397</v>
      </c>
      <c r="K69" s="26" t="s">
        <v>398</v>
      </c>
      <c r="L69" s="26" t="s">
        <v>224</v>
      </c>
      <c r="M69" s="27"/>
      <c r="N69" s="27"/>
    </row>
    <row r="70" spans="1:14" ht="26.4" x14ac:dyDescent="0.3">
      <c r="A70" s="28">
        <v>69</v>
      </c>
      <c r="B70" s="26" t="s">
        <v>134</v>
      </c>
      <c r="C70" s="26" t="s">
        <v>146</v>
      </c>
      <c r="D70" s="26" t="s">
        <v>147</v>
      </c>
      <c r="E70" s="29" t="s">
        <v>137</v>
      </c>
      <c r="F70" s="26" t="s">
        <v>218</v>
      </c>
      <c r="G70" s="30" t="s">
        <v>399</v>
      </c>
      <c r="H70" s="32" t="s">
        <v>226</v>
      </c>
      <c r="I70" s="26"/>
      <c r="J70" s="26" t="s">
        <v>400</v>
      </c>
      <c r="K70" s="26" t="s">
        <v>401</v>
      </c>
      <c r="L70" s="26" t="s">
        <v>224</v>
      </c>
      <c r="M70" s="27"/>
      <c r="N70" s="27"/>
    </row>
    <row r="71" spans="1:14" ht="26.4" x14ac:dyDescent="0.3">
      <c r="A71" s="28">
        <v>70</v>
      </c>
      <c r="B71" s="26" t="s">
        <v>134</v>
      </c>
      <c r="C71" s="26" t="s">
        <v>146</v>
      </c>
      <c r="D71" s="26" t="s">
        <v>149</v>
      </c>
      <c r="E71" s="29" t="s">
        <v>137</v>
      </c>
      <c r="F71" s="26" t="s">
        <v>218</v>
      </c>
      <c r="G71" s="30" t="s">
        <v>399</v>
      </c>
      <c r="H71" s="32" t="s">
        <v>226</v>
      </c>
      <c r="I71" s="26"/>
      <c r="J71" s="26" t="s">
        <v>402</v>
      </c>
      <c r="K71" s="26" t="s">
        <v>403</v>
      </c>
      <c r="L71" s="26" t="s">
        <v>224</v>
      </c>
      <c r="M71" s="27"/>
      <c r="N71" s="27"/>
    </row>
    <row r="72" spans="1:14" ht="26.4" x14ac:dyDescent="0.3">
      <c r="A72" s="28">
        <v>71</v>
      </c>
      <c r="B72" s="26" t="s">
        <v>134</v>
      </c>
      <c r="C72" s="26" t="s">
        <v>146</v>
      </c>
      <c r="D72" s="26" t="s">
        <v>150</v>
      </c>
      <c r="E72" s="29" t="s">
        <v>137</v>
      </c>
      <c r="F72" s="26" t="s">
        <v>218</v>
      </c>
      <c r="G72" s="30" t="s">
        <v>399</v>
      </c>
      <c r="H72" s="32" t="s">
        <v>226</v>
      </c>
      <c r="I72" s="26" t="s">
        <v>282</v>
      </c>
      <c r="J72" s="26" t="s">
        <v>404</v>
      </c>
      <c r="K72" s="26" t="s">
        <v>405</v>
      </c>
      <c r="L72" s="26" t="s">
        <v>224</v>
      </c>
      <c r="M72" s="27"/>
      <c r="N72" s="27"/>
    </row>
    <row r="73" spans="1:14" ht="26.4" x14ac:dyDescent="0.3">
      <c r="A73" s="28">
        <v>72</v>
      </c>
      <c r="B73" s="26" t="s">
        <v>134</v>
      </c>
      <c r="C73" s="26" t="s">
        <v>146</v>
      </c>
      <c r="D73" s="26" t="s">
        <v>151</v>
      </c>
      <c r="E73" s="29" t="s">
        <v>137</v>
      </c>
      <c r="F73" s="26" t="s">
        <v>276</v>
      </c>
      <c r="G73" s="30" t="s">
        <v>292</v>
      </c>
      <c r="H73" s="31" t="s">
        <v>220</v>
      </c>
      <c r="I73" s="26" t="s">
        <v>399</v>
      </c>
      <c r="J73" s="26" t="s">
        <v>406</v>
      </c>
      <c r="K73" s="26" t="s">
        <v>407</v>
      </c>
      <c r="L73" s="26" t="s">
        <v>224</v>
      </c>
      <c r="M73" s="27"/>
      <c r="N73" s="27"/>
    </row>
    <row r="74" spans="1:14" ht="26.4" x14ac:dyDescent="0.3">
      <c r="A74" s="28">
        <v>73</v>
      </c>
      <c r="B74" s="26" t="s">
        <v>134</v>
      </c>
      <c r="C74" s="26" t="s">
        <v>146</v>
      </c>
      <c r="D74" s="26" t="s">
        <v>152</v>
      </c>
      <c r="E74" s="29"/>
      <c r="F74" s="26" t="s">
        <v>218</v>
      </c>
      <c r="G74" s="30" t="s">
        <v>399</v>
      </c>
      <c r="H74" s="32" t="s">
        <v>226</v>
      </c>
      <c r="I74" s="26"/>
      <c r="J74" s="26" t="s">
        <v>408</v>
      </c>
      <c r="K74" s="26" t="s">
        <v>409</v>
      </c>
      <c r="L74" s="26" t="s">
        <v>224</v>
      </c>
      <c r="M74" s="27"/>
      <c r="N74" s="27"/>
    </row>
    <row r="75" spans="1:14" ht="26.4" x14ac:dyDescent="0.3">
      <c r="A75" s="28">
        <v>74</v>
      </c>
      <c r="B75" s="26" t="s">
        <v>134</v>
      </c>
      <c r="C75" s="26" t="s">
        <v>153</v>
      </c>
      <c r="D75" s="26" t="s">
        <v>154</v>
      </c>
      <c r="E75" s="29"/>
      <c r="F75" s="26" t="s">
        <v>276</v>
      </c>
      <c r="G75" s="30" t="s">
        <v>292</v>
      </c>
      <c r="H75" s="31" t="s">
        <v>220</v>
      </c>
      <c r="I75" s="26" t="s">
        <v>227</v>
      </c>
      <c r="J75" s="26" t="s">
        <v>410</v>
      </c>
      <c r="K75" s="26" t="s">
        <v>411</v>
      </c>
      <c r="L75" s="26" t="s">
        <v>224</v>
      </c>
      <c r="M75" s="27"/>
      <c r="N75" s="27"/>
    </row>
    <row r="76" spans="1:14" ht="26.4" x14ac:dyDescent="0.3">
      <c r="A76" s="28">
        <v>75</v>
      </c>
      <c r="B76" s="26" t="s">
        <v>134</v>
      </c>
      <c r="C76" s="26" t="s">
        <v>155</v>
      </c>
      <c r="D76" s="26" t="s">
        <v>156</v>
      </c>
      <c r="E76" s="29"/>
      <c r="F76" s="26" t="s">
        <v>218</v>
      </c>
      <c r="G76" s="30" t="s">
        <v>399</v>
      </c>
      <c r="H76" s="32" t="s">
        <v>226</v>
      </c>
      <c r="I76" s="26" t="s">
        <v>277</v>
      </c>
      <c r="J76" s="26" t="s">
        <v>412</v>
      </c>
      <c r="K76" s="26" t="s">
        <v>413</v>
      </c>
      <c r="L76" s="26" t="s">
        <v>224</v>
      </c>
      <c r="M76" s="27"/>
      <c r="N76" s="27"/>
    </row>
    <row r="77" spans="1:14" ht="26.4" x14ac:dyDescent="0.3">
      <c r="A77" s="28">
        <v>76</v>
      </c>
      <c r="B77" s="26" t="s">
        <v>134</v>
      </c>
      <c r="C77" s="26" t="s">
        <v>155</v>
      </c>
      <c r="D77" s="26" t="s">
        <v>414</v>
      </c>
      <c r="E77" s="29"/>
      <c r="F77" s="26" t="s">
        <v>314</v>
      </c>
      <c r="G77" s="30" t="s">
        <v>227</v>
      </c>
      <c r="H77" s="32" t="s">
        <v>226</v>
      </c>
      <c r="I77" s="26" t="s">
        <v>292</v>
      </c>
      <c r="J77" s="26" t="s">
        <v>415</v>
      </c>
      <c r="K77" s="26" t="s">
        <v>416</v>
      </c>
      <c r="L77" s="26" t="s">
        <v>224</v>
      </c>
      <c r="M77" s="27"/>
      <c r="N77" s="27"/>
    </row>
    <row r="78" spans="1:14" ht="26.4" x14ac:dyDescent="0.3">
      <c r="A78" s="28">
        <v>77</v>
      </c>
      <c r="B78" s="26" t="s">
        <v>158</v>
      </c>
      <c r="C78" s="26" t="s">
        <v>159</v>
      </c>
      <c r="D78" s="26" t="s">
        <v>160</v>
      </c>
      <c r="E78" s="29" t="s">
        <v>137</v>
      </c>
      <c r="F78" s="26" t="s">
        <v>276</v>
      </c>
      <c r="G78" s="30" t="s">
        <v>302</v>
      </c>
      <c r="H78" s="31" t="s">
        <v>220</v>
      </c>
      <c r="I78" s="26" t="s">
        <v>282</v>
      </c>
      <c r="J78" s="26" t="s">
        <v>417</v>
      </c>
      <c r="K78" s="26" t="s">
        <v>418</v>
      </c>
      <c r="L78" s="26" t="s">
        <v>224</v>
      </c>
      <c r="M78" s="27"/>
      <c r="N78" s="27"/>
    </row>
    <row r="79" spans="1:14" ht="26.4" x14ac:dyDescent="0.3">
      <c r="A79" s="28">
        <v>78</v>
      </c>
      <c r="B79" s="26" t="s">
        <v>158</v>
      </c>
      <c r="C79" s="26" t="s">
        <v>159</v>
      </c>
      <c r="D79" s="26" t="s">
        <v>161</v>
      </c>
      <c r="E79" s="29" t="s">
        <v>137</v>
      </c>
      <c r="F79" s="26" t="s">
        <v>276</v>
      </c>
      <c r="G79" s="30" t="s">
        <v>302</v>
      </c>
      <c r="H79" s="31" t="s">
        <v>220</v>
      </c>
      <c r="I79" s="26" t="s">
        <v>263</v>
      </c>
      <c r="J79" s="26" t="s">
        <v>419</v>
      </c>
      <c r="K79" s="26" t="s">
        <v>420</v>
      </c>
      <c r="L79" s="26" t="s">
        <v>224</v>
      </c>
      <c r="M79" s="27"/>
      <c r="N79" s="27"/>
    </row>
    <row r="80" spans="1:14" ht="26.4" x14ac:dyDescent="0.3">
      <c r="A80" s="28">
        <v>79</v>
      </c>
      <c r="B80" s="26" t="s">
        <v>158</v>
      </c>
      <c r="C80" s="26" t="s">
        <v>421</v>
      </c>
      <c r="D80" s="26" t="s">
        <v>163</v>
      </c>
      <c r="E80" s="29" t="s">
        <v>137</v>
      </c>
      <c r="F80" s="26" t="s">
        <v>311</v>
      </c>
      <c r="G80" s="30" t="s">
        <v>422</v>
      </c>
      <c r="H80" s="34" t="s">
        <v>278</v>
      </c>
      <c r="I80" s="26" t="s">
        <v>277</v>
      </c>
      <c r="J80" s="26" t="s">
        <v>423</v>
      </c>
      <c r="K80" s="26" t="s">
        <v>424</v>
      </c>
      <c r="L80" s="26" t="s">
        <v>224</v>
      </c>
      <c r="M80" s="27"/>
      <c r="N80" s="27"/>
    </row>
    <row r="81" spans="1:14" ht="39.6" x14ac:dyDescent="0.3">
      <c r="A81" s="28">
        <v>80</v>
      </c>
      <c r="B81" s="26" t="s">
        <v>158</v>
      </c>
      <c r="C81" s="26" t="s">
        <v>164</v>
      </c>
      <c r="D81" s="26" t="s">
        <v>165</v>
      </c>
      <c r="E81" s="29" t="s">
        <v>137</v>
      </c>
      <c r="F81" s="26" t="s">
        <v>276</v>
      </c>
      <c r="G81" s="30" t="s">
        <v>425</v>
      </c>
      <c r="H81" s="32" t="s">
        <v>226</v>
      </c>
      <c r="I81" s="26" t="s">
        <v>282</v>
      </c>
      <c r="J81" s="26" t="s">
        <v>426</v>
      </c>
      <c r="K81" s="26" t="s">
        <v>427</v>
      </c>
      <c r="L81" s="26" t="s">
        <v>224</v>
      </c>
      <c r="M81" s="27"/>
      <c r="N81" s="27"/>
    </row>
    <row r="82" spans="1:14" ht="26.4" x14ac:dyDescent="0.3">
      <c r="A82" s="28">
        <v>81</v>
      </c>
      <c r="B82" s="26" t="s">
        <v>158</v>
      </c>
      <c r="C82" s="26" t="s">
        <v>166</v>
      </c>
      <c r="D82" s="26" t="s">
        <v>167</v>
      </c>
      <c r="E82" s="29" t="s">
        <v>137</v>
      </c>
      <c r="F82" s="26" t="s">
        <v>311</v>
      </c>
      <c r="G82" s="30" t="s">
        <v>282</v>
      </c>
      <c r="H82" s="31" t="s">
        <v>220</v>
      </c>
      <c r="I82" s="26" t="s">
        <v>422</v>
      </c>
      <c r="J82" s="26" t="s">
        <v>428</v>
      </c>
      <c r="K82" s="26" t="s">
        <v>429</v>
      </c>
      <c r="L82" s="26" t="s">
        <v>224</v>
      </c>
      <c r="M82" s="27"/>
      <c r="N82" s="27"/>
    </row>
    <row r="83" spans="1:14" ht="26.4" x14ac:dyDescent="0.3">
      <c r="A83" s="28">
        <v>82</v>
      </c>
      <c r="B83" s="26" t="s">
        <v>158</v>
      </c>
      <c r="C83" s="26" t="s">
        <v>166</v>
      </c>
      <c r="D83" s="26" t="s">
        <v>168</v>
      </c>
      <c r="E83" s="29"/>
      <c r="F83" s="26" t="s">
        <v>311</v>
      </c>
      <c r="G83" s="30" t="s">
        <v>422</v>
      </c>
      <c r="H83" s="34" t="s">
        <v>278</v>
      </c>
      <c r="I83" s="26" t="s">
        <v>281</v>
      </c>
      <c r="J83" s="26" t="s">
        <v>430</v>
      </c>
      <c r="K83" s="26" t="s">
        <v>431</v>
      </c>
      <c r="L83" s="26" t="s">
        <v>224</v>
      </c>
      <c r="M83" s="27"/>
      <c r="N83" s="27"/>
    </row>
    <row r="84" spans="1:14" ht="26.4" x14ac:dyDescent="0.3">
      <c r="A84" s="28">
        <v>83</v>
      </c>
      <c r="B84" s="26" t="s">
        <v>158</v>
      </c>
      <c r="C84" s="26" t="s">
        <v>166</v>
      </c>
      <c r="D84" s="26" t="s">
        <v>169</v>
      </c>
      <c r="E84" s="29"/>
      <c r="F84" s="26" t="s">
        <v>311</v>
      </c>
      <c r="G84" s="30" t="s">
        <v>422</v>
      </c>
      <c r="H84" s="34" t="s">
        <v>278</v>
      </c>
      <c r="I84" s="26" t="s">
        <v>282</v>
      </c>
      <c r="J84" s="26" t="s">
        <v>432</v>
      </c>
      <c r="K84" s="26" t="s">
        <v>433</v>
      </c>
      <c r="L84" s="26" t="s">
        <v>224</v>
      </c>
      <c r="M84" s="27"/>
      <c r="N84" s="27"/>
    </row>
    <row r="85" spans="1:14" ht="26.4" x14ac:dyDescent="0.3">
      <c r="A85" s="28">
        <v>84</v>
      </c>
      <c r="B85" s="26" t="s">
        <v>158</v>
      </c>
      <c r="C85" s="26" t="s">
        <v>159</v>
      </c>
      <c r="D85" s="26" t="s">
        <v>170</v>
      </c>
      <c r="E85" s="29"/>
      <c r="F85" s="26" t="s">
        <v>314</v>
      </c>
      <c r="G85" s="30" t="s">
        <v>319</v>
      </c>
      <c r="H85" s="31" t="s">
        <v>220</v>
      </c>
      <c r="I85" s="26" t="s">
        <v>302</v>
      </c>
      <c r="J85" s="26" t="s">
        <v>434</v>
      </c>
      <c r="K85" s="26" t="s">
        <v>435</v>
      </c>
      <c r="L85" s="26" t="s">
        <v>224</v>
      </c>
      <c r="M85" s="27"/>
      <c r="N85" s="27"/>
    </row>
    <row r="86" spans="1:14" ht="39.6" x14ac:dyDescent="0.3">
      <c r="A86" s="28">
        <v>85</v>
      </c>
      <c r="B86" s="26" t="s">
        <v>158</v>
      </c>
      <c r="C86" s="26" t="s">
        <v>171</v>
      </c>
      <c r="D86" s="26" t="s">
        <v>172</v>
      </c>
      <c r="E86" s="29"/>
      <c r="F86" s="26" t="s">
        <v>276</v>
      </c>
      <c r="G86" s="30" t="s">
        <v>295</v>
      </c>
      <c r="H86" s="31" t="s">
        <v>220</v>
      </c>
      <c r="I86" s="26" t="s">
        <v>302</v>
      </c>
      <c r="J86" s="26" t="s">
        <v>436</v>
      </c>
      <c r="K86" s="26" t="s">
        <v>437</v>
      </c>
      <c r="L86" s="33" t="s">
        <v>262</v>
      </c>
      <c r="M86" s="27"/>
      <c r="N86" s="27"/>
    </row>
    <row r="87" spans="1:14" ht="26.4" x14ac:dyDescent="0.3">
      <c r="A87" s="28">
        <v>86</v>
      </c>
      <c r="B87" s="26" t="s">
        <v>158</v>
      </c>
      <c r="C87" s="26" t="s">
        <v>173</v>
      </c>
      <c r="D87" s="26" t="s">
        <v>174</v>
      </c>
      <c r="E87" s="29"/>
      <c r="F87" s="26" t="s">
        <v>287</v>
      </c>
      <c r="G87" s="30" t="s">
        <v>383</v>
      </c>
      <c r="H87" s="32" t="s">
        <v>226</v>
      </c>
      <c r="I87" s="26" t="s">
        <v>282</v>
      </c>
      <c r="J87" s="26" t="s">
        <v>438</v>
      </c>
      <c r="K87" s="26" t="s">
        <v>439</v>
      </c>
      <c r="L87" s="26" t="s">
        <v>224</v>
      </c>
      <c r="M87" s="27"/>
      <c r="N87" s="27"/>
    </row>
    <row r="88" spans="1:14" ht="26.4" x14ac:dyDescent="0.3">
      <c r="A88" s="28">
        <v>87</v>
      </c>
      <c r="B88" s="26" t="s">
        <v>158</v>
      </c>
      <c r="C88" s="26" t="s">
        <v>173</v>
      </c>
      <c r="D88" s="26" t="s">
        <v>175</v>
      </c>
      <c r="E88" s="29"/>
      <c r="F88" s="26" t="s">
        <v>276</v>
      </c>
      <c r="G88" s="30" t="s">
        <v>302</v>
      </c>
      <c r="H88" s="31" t="s">
        <v>220</v>
      </c>
      <c r="I88" s="26" t="s">
        <v>378</v>
      </c>
      <c r="J88" s="26" t="s">
        <v>440</v>
      </c>
      <c r="K88" s="26" t="s">
        <v>441</v>
      </c>
      <c r="L88" s="26" t="s">
        <v>224</v>
      </c>
      <c r="M88" s="27"/>
      <c r="N88" s="27"/>
    </row>
    <row r="89" spans="1:14" ht="26.4" x14ac:dyDescent="0.3">
      <c r="A89" s="28">
        <v>88</v>
      </c>
      <c r="B89" s="26" t="s">
        <v>158</v>
      </c>
      <c r="C89" s="26" t="s">
        <v>173</v>
      </c>
      <c r="D89" s="26" t="s">
        <v>176</v>
      </c>
      <c r="E89" s="29"/>
      <c r="F89" s="26" t="s">
        <v>311</v>
      </c>
      <c r="G89" s="30" t="s">
        <v>282</v>
      </c>
      <c r="H89" s="31" t="s">
        <v>220</v>
      </c>
      <c r="I89" s="26" t="s">
        <v>378</v>
      </c>
      <c r="J89" s="26" t="s">
        <v>442</v>
      </c>
      <c r="K89" s="26" t="s">
        <v>443</v>
      </c>
      <c r="L89" s="26" t="s">
        <v>224</v>
      </c>
      <c r="M89" s="27"/>
      <c r="N89" s="27"/>
    </row>
    <row r="90" spans="1:14" ht="26.4" x14ac:dyDescent="0.3">
      <c r="A90" s="28">
        <v>89</v>
      </c>
      <c r="B90" s="26" t="s">
        <v>177</v>
      </c>
      <c r="C90" s="26" t="s">
        <v>178</v>
      </c>
      <c r="D90" s="26" t="s">
        <v>179</v>
      </c>
      <c r="E90" s="29" t="s">
        <v>35</v>
      </c>
      <c r="F90" s="26" t="s">
        <v>314</v>
      </c>
      <c r="G90" s="30" t="s">
        <v>444</v>
      </c>
      <c r="H90" s="31" t="s">
        <v>220</v>
      </c>
      <c r="I90" s="26" t="s">
        <v>281</v>
      </c>
      <c r="J90" s="26" t="s">
        <v>445</v>
      </c>
      <c r="K90" s="26" t="s">
        <v>446</v>
      </c>
      <c r="L90" s="26" t="s">
        <v>224</v>
      </c>
      <c r="M90" s="27"/>
      <c r="N90" s="27"/>
    </row>
    <row r="91" spans="1:14" ht="26.4" x14ac:dyDescent="0.3">
      <c r="A91" s="28">
        <v>90</v>
      </c>
      <c r="B91" s="26" t="s">
        <v>177</v>
      </c>
      <c r="C91" s="26" t="s">
        <v>178</v>
      </c>
      <c r="D91" s="26" t="s">
        <v>180</v>
      </c>
      <c r="E91" s="29" t="s">
        <v>35</v>
      </c>
      <c r="F91" s="26" t="s">
        <v>276</v>
      </c>
      <c r="G91" s="30" t="s">
        <v>281</v>
      </c>
      <c r="H91" s="31" t="s">
        <v>220</v>
      </c>
      <c r="I91" s="26" t="s">
        <v>444</v>
      </c>
      <c r="J91" s="26" t="s">
        <v>447</v>
      </c>
      <c r="K91" s="26" t="s">
        <v>448</v>
      </c>
      <c r="L91" s="26" t="s">
        <v>224</v>
      </c>
      <c r="M91" s="27"/>
      <c r="N91" s="27"/>
    </row>
    <row r="92" spans="1:14" ht="26.4" x14ac:dyDescent="0.3">
      <c r="A92" s="28">
        <v>91</v>
      </c>
      <c r="B92" s="26" t="s">
        <v>177</v>
      </c>
      <c r="C92" s="26" t="s">
        <v>178</v>
      </c>
      <c r="D92" s="26" t="s">
        <v>181</v>
      </c>
      <c r="E92" s="29" t="s">
        <v>35</v>
      </c>
      <c r="F92" s="26" t="s">
        <v>314</v>
      </c>
      <c r="G92" s="30" t="s">
        <v>444</v>
      </c>
      <c r="H92" s="31" t="s">
        <v>220</v>
      </c>
      <c r="I92" s="26" t="s">
        <v>281</v>
      </c>
      <c r="J92" s="26" t="s">
        <v>449</v>
      </c>
      <c r="K92" s="26" t="s">
        <v>450</v>
      </c>
      <c r="L92" s="26" t="s">
        <v>224</v>
      </c>
      <c r="M92" s="27"/>
      <c r="N92" s="27"/>
    </row>
    <row r="93" spans="1:14" ht="26.4" x14ac:dyDescent="0.3">
      <c r="A93" s="28">
        <v>92</v>
      </c>
      <c r="B93" s="26" t="s">
        <v>177</v>
      </c>
      <c r="C93" s="26" t="s">
        <v>182</v>
      </c>
      <c r="D93" s="26" t="s">
        <v>183</v>
      </c>
      <c r="E93" s="29" t="s">
        <v>35</v>
      </c>
      <c r="F93" s="26" t="s">
        <v>314</v>
      </c>
      <c r="G93" s="30" t="s">
        <v>444</v>
      </c>
      <c r="H93" s="31" t="s">
        <v>220</v>
      </c>
      <c r="I93" s="26"/>
      <c r="J93" s="26" t="s">
        <v>451</v>
      </c>
      <c r="K93" s="26" t="s">
        <v>452</v>
      </c>
      <c r="L93" s="26" t="s">
        <v>224</v>
      </c>
      <c r="M93" s="27"/>
      <c r="N93" s="27"/>
    </row>
    <row r="94" spans="1:14" ht="26.4" x14ac:dyDescent="0.3">
      <c r="A94" s="28">
        <v>93</v>
      </c>
      <c r="B94" s="26" t="s">
        <v>177</v>
      </c>
      <c r="C94" s="26" t="s">
        <v>182</v>
      </c>
      <c r="D94" s="26" t="s">
        <v>184</v>
      </c>
      <c r="E94" s="29" t="s">
        <v>35</v>
      </c>
      <c r="F94" s="26" t="s">
        <v>314</v>
      </c>
      <c r="G94" s="30" t="s">
        <v>444</v>
      </c>
      <c r="H94" s="31" t="s">
        <v>220</v>
      </c>
      <c r="I94" s="26" t="s">
        <v>383</v>
      </c>
      <c r="J94" s="26" t="s">
        <v>453</v>
      </c>
      <c r="K94" s="26" t="s">
        <v>454</v>
      </c>
      <c r="L94" s="26" t="s">
        <v>224</v>
      </c>
      <c r="M94" s="27"/>
      <c r="N94" s="27"/>
    </row>
    <row r="95" spans="1:14" ht="26.4" x14ac:dyDescent="0.3">
      <c r="A95" s="28">
        <v>94</v>
      </c>
      <c r="B95" s="26" t="s">
        <v>177</v>
      </c>
      <c r="C95" s="26" t="s">
        <v>185</v>
      </c>
      <c r="D95" s="26" t="s">
        <v>186</v>
      </c>
      <c r="E95" s="29" t="s">
        <v>35</v>
      </c>
      <c r="F95" s="26" t="s">
        <v>328</v>
      </c>
      <c r="G95" s="30" t="s">
        <v>329</v>
      </c>
      <c r="H95" s="31" t="s">
        <v>220</v>
      </c>
      <c r="I95" s="26" t="s">
        <v>444</v>
      </c>
      <c r="J95" s="26" t="s">
        <v>455</v>
      </c>
      <c r="K95" s="26" t="s">
        <v>456</v>
      </c>
      <c r="L95" s="26" t="s">
        <v>224</v>
      </c>
      <c r="M95" s="27"/>
      <c r="N95" s="27"/>
    </row>
    <row r="96" spans="1:14" ht="26.4" x14ac:dyDescent="0.3">
      <c r="A96" s="28">
        <v>95</v>
      </c>
      <c r="B96" s="26" t="s">
        <v>177</v>
      </c>
      <c r="C96" s="26" t="s">
        <v>185</v>
      </c>
      <c r="D96" s="26" t="s">
        <v>187</v>
      </c>
      <c r="E96" s="29" t="s">
        <v>35</v>
      </c>
      <c r="F96" s="26" t="s">
        <v>314</v>
      </c>
      <c r="G96" s="30" t="s">
        <v>444</v>
      </c>
      <c r="H96" s="31" t="s">
        <v>220</v>
      </c>
      <c r="I96" s="26" t="s">
        <v>329</v>
      </c>
      <c r="J96" s="26" t="s">
        <v>457</v>
      </c>
      <c r="K96" s="26" t="s">
        <v>458</v>
      </c>
      <c r="L96" s="26" t="s">
        <v>224</v>
      </c>
      <c r="M96" s="27"/>
      <c r="N96" s="27"/>
    </row>
    <row r="97" spans="1:14" ht="26.4" x14ac:dyDescent="0.3">
      <c r="A97" s="28">
        <v>96</v>
      </c>
      <c r="B97" s="26" t="s">
        <v>177</v>
      </c>
      <c r="C97" s="26" t="s">
        <v>188</v>
      </c>
      <c r="D97" s="26" t="s">
        <v>189</v>
      </c>
      <c r="E97" s="29" t="s">
        <v>35</v>
      </c>
      <c r="F97" s="26" t="s">
        <v>287</v>
      </c>
      <c r="G97" s="30" t="s">
        <v>383</v>
      </c>
      <c r="H97" s="32" t="s">
        <v>226</v>
      </c>
      <c r="I97" s="26" t="s">
        <v>444</v>
      </c>
      <c r="J97" s="26" t="s">
        <v>459</v>
      </c>
      <c r="K97" s="26" t="s">
        <v>460</v>
      </c>
      <c r="L97" s="26" t="s">
        <v>224</v>
      </c>
      <c r="M97" s="27"/>
      <c r="N97" s="27"/>
    </row>
    <row r="98" spans="1:14" ht="26.4" x14ac:dyDescent="0.3">
      <c r="A98" s="28">
        <v>97</v>
      </c>
      <c r="B98" s="26" t="s">
        <v>177</v>
      </c>
      <c r="C98" s="26" t="s">
        <v>188</v>
      </c>
      <c r="D98" s="26" t="s">
        <v>190</v>
      </c>
      <c r="E98" s="29" t="s">
        <v>35</v>
      </c>
      <c r="F98" s="26" t="s">
        <v>287</v>
      </c>
      <c r="G98" s="30" t="s">
        <v>383</v>
      </c>
      <c r="H98" s="32" t="s">
        <v>226</v>
      </c>
      <c r="I98" s="26"/>
      <c r="J98" s="26" t="s">
        <v>461</v>
      </c>
      <c r="K98" s="26" t="s">
        <v>462</v>
      </c>
      <c r="L98" s="26" t="s">
        <v>224</v>
      </c>
      <c r="M98" s="27"/>
      <c r="N98" s="27"/>
    </row>
    <row r="99" spans="1:14" ht="39.6" x14ac:dyDescent="0.3">
      <c r="A99" s="28">
        <v>98</v>
      </c>
      <c r="B99" s="26" t="s">
        <v>177</v>
      </c>
      <c r="C99" s="26" t="s">
        <v>191</v>
      </c>
      <c r="D99" s="26" t="s">
        <v>463</v>
      </c>
      <c r="E99" s="29" t="s">
        <v>35</v>
      </c>
      <c r="F99" s="26" t="s">
        <v>464</v>
      </c>
      <c r="G99" s="30" t="s">
        <v>465</v>
      </c>
      <c r="H99" s="34" t="s">
        <v>278</v>
      </c>
      <c r="I99" s="26" t="s">
        <v>466</v>
      </c>
      <c r="J99" s="26" t="s">
        <v>467</v>
      </c>
      <c r="K99" s="26" t="s">
        <v>468</v>
      </c>
      <c r="L99" s="26" t="s">
        <v>224</v>
      </c>
      <c r="M99" s="27"/>
      <c r="N99" s="27"/>
    </row>
    <row r="100" spans="1:14" ht="26.4" x14ac:dyDescent="0.3">
      <c r="A100" s="28">
        <v>99</v>
      </c>
      <c r="B100" s="26" t="s">
        <v>193</v>
      </c>
      <c r="C100" s="26" t="s">
        <v>194</v>
      </c>
      <c r="D100" s="26" t="s">
        <v>195</v>
      </c>
      <c r="E100" s="29"/>
      <c r="F100" s="26" t="s">
        <v>218</v>
      </c>
      <c r="G100" s="30" t="s">
        <v>225</v>
      </c>
      <c r="H100" s="32" t="s">
        <v>226</v>
      </c>
      <c r="I100" s="26" t="s">
        <v>277</v>
      </c>
      <c r="J100" s="26" t="s">
        <v>469</v>
      </c>
      <c r="K100" s="26" t="s">
        <v>470</v>
      </c>
      <c r="L100" s="26" t="s">
        <v>224</v>
      </c>
      <c r="M100" s="27"/>
      <c r="N100" s="27"/>
    </row>
    <row r="101" spans="1:14" ht="26.4" x14ac:dyDescent="0.3">
      <c r="A101" s="28">
        <v>100</v>
      </c>
      <c r="B101" s="26" t="s">
        <v>193</v>
      </c>
      <c r="C101" s="26" t="s">
        <v>196</v>
      </c>
      <c r="D101" s="26" t="s">
        <v>197</v>
      </c>
      <c r="E101" s="29"/>
      <c r="F101" s="26" t="s">
        <v>218</v>
      </c>
      <c r="G101" s="30" t="s">
        <v>219</v>
      </c>
      <c r="H101" s="31" t="s">
        <v>220</v>
      </c>
      <c r="I101" s="26" t="s">
        <v>227</v>
      </c>
      <c r="J101" s="26" t="s">
        <v>471</v>
      </c>
      <c r="K101" s="26" t="s">
        <v>472</v>
      </c>
      <c r="L101" s="26" t="s">
        <v>224</v>
      </c>
      <c r="M101" s="27"/>
      <c r="N101" s="27"/>
    </row>
    <row r="102" spans="1:14" ht="26.4" x14ac:dyDescent="0.3">
      <c r="A102" s="23">
        <v>101</v>
      </c>
      <c r="B102" s="24" t="s">
        <v>193</v>
      </c>
      <c r="C102" s="24" t="s">
        <v>198</v>
      </c>
      <c r="D102" s="24" t="s">
        <v>473</v>
      </c>
      <c r="E102" s="25"/>
      <c r="F102" s="24" t="s">
        <v>214</v>
      </c>
      <c r="G102" s="24" t="s">
        <v>215</v>
      </c>
      <c r="H102" s="23" t="s">
        <v>214</v>
      </c>
      <c r="I102" s="24"/>
      <c r="J102" s="26" t="s">
        <v>474</v>
      </c>
      <c r="K102" s="26" t="s">
        <v>475</v>
      </c>
      <c r="L102" s="26" t="s">
        <v>214</v>
      </c>
      <c r="M102" s="27"/>
      <c r="N102" s="27"/>
    </row>
    <row r="103" spans="1:14" ht="26.4" x14ac:dyDescent="0.3">
      <c r="A103" s="28">
        <v>102</v>
      </c>
      <c r="B103" s="26" t="s">
        <v>193</v>
      </c>
      <c r="C103" s="26" t="s">
        <v>200</v>
      </c>
      <c r="D103" s="26" t="s">
        <v>201</v>
      </c>
      <c r="E103" s="29"/>
      <c r="F103" s="26" t="s">
        <v>311</v>
      </c>
      <c r="G103" s="30" t="s">
        <v>263</v>
      </c>
      <c r="H103" s="31" t="s">
        <v>220</v>
      </c>
      <c r="I103" s="26" t="s">
        <v>399</v>
      </c>
      <c r="J103" s="26" t="s">
        <v>476</v>
      </c>
      <c r="K103" s="26" t="s">
        <v>477</v>
      </c>
      <c r="L103" s="26" t="s">
        <v>224</v>
      </c>
      <c r="M103" s="27"/>
      <c r="N103" s="27"/>
    </row>
    <row r="104" spans="1:14" ht="39.6" x14ac:dyDescent="0.3">
      <c r="A104" s="28">
        <v>103</v>
      </c>
      <c r="B104" s="26" t="s">
        <v>193</v>
      </c>
      <c r="C104" s="26" t="s">
        <v>202</v>
      </c>
      <c r="D104" s="26" t="s">
        <v>203</v>
      </c>
      <c r="E104" s="29"/>
      <c r="F104" s="26" t="s">
        <v>314</v>
      </c>
      <c r="G104" s="30" t="s">
        <v>227</v>
      </c>
      <c r="H104" s="32" t="s">
        <v>226</v>
      </c>
      <c r="I104" s="26" t="s">
        <v>245</v>
      </c>
      <c r="J104" s="26" t="s">
        <v>478</v>
      </c>
      <c r="K104" s="26" t="s">
        <v>479</v>
      </c>
      <c r="L104" s="26" t="s">
        <v>224</v>
      </c>
      <c r="M104" s="27"/>
      <c r="N104" s="27"/>
    </row>
    <row r="105" spans="1:14" ht="39.6" x14ac:dyDescent="0.3">
      <c r="A105" s="23">
        <v>104</v>
      </c>
      <c r="B105" s="24" t="s">
        <v>193</v>
      </c>
      <c r="C105" s="24" t="s">
        <v>202</v>
      </c>
      <c r="D105" s="24" t="s">
        <v>480</v>
      </c>
      <c r="E105" s="25"/>
      <c r="F105" s="24" t="s">
        <v>214</v>
      </c>
      <c r="G105" s="24" t="s">
        <v>215</v>
      </c>
      <c r="H105" s="23" t="s">
        <v>214</v>
      </c>
      <c r="I105" s="24" t="s">
        <v>263</v>
      </c>
      <c r="J105" s="26" t="s">
        <v>481</v>
      </c>
      <c r="K105" s="26" t="s">
        <v>482</v>
      </c>
      <c r="L105" s="26" t="s">
        <v>224</v>
      </c>
      <c r="M105" s="27"/>
      <c r="N105" s="27"/>
    </row>
  </sheetData>
  <autoFilter ref="A1:N105" xr:uid="{00000000-0009-0000-0000-000002000000}"/>
  <dataValidations count="1">
    <dataValidation type="list" allowBlank="1" sqref="M2:M105" xr:uid="{00000000-0002-0000-0200-000000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5"/>
  <sheetViews>
    <sheetView zoomScale="85" zoomScaleNormal="85" workbookViewId="0">
      <pane ySplit="1" topLeftCell="A2" activePane="bottomLeft" state="frozen"/>
      <selection pane="bottomLeft" activeCell="E21" activeCellId="1" sqref="C20 E21"/>
    </sheetView>
  </sheetViews>
  <sheetFormatPr defaultColWidth="8.5546875" defaultRowHeight="13.2" x14ac:dyDescent="0.25"/>
  <cols>
    <col min="1" max="1" width="49.33203125" style="48" customWidth="1"/>
    <col min="2" max="2" width="45.33203125" style="48" customWidth="1"/>
    <col min="3" max="3" width="75.6640625" style="48" customWidth="1"/>
    <col min="4" max="4" width="13.5546875" style="48" customWidth="1"/>
    <col min="5" max="5" width="59.109375" style="48" bestFit="1" customWidth="1"/>
    <col min="6" max="6" width="40.6640625" style="48" customWidth="1"/>
    <col min="7" max="7" width="71.5546875" style="48" customWidth="1"/>
    <col min="8" max="8" width="44.6640625" style="48" customWidth="1"/>
    <col min="9" max="9" width="38.6640625" style="48" customWidth="1"/>
    <col min="10" max="10" width="23.33203125" style="48" customWidth="1"/>
    <col min="11" max="12" width="31.88671875" style="48" customWidth="1"/>
    <col min="13" max="16384" width="8.5546875" style="48"/>
  </cols>
  <sheetData>
    <row r="1" spans="1:12" ht="17.25" customHeight="1" x14ac:dyDescent="0.25">
      <c r="A1" s="45" t="s">
        <v>23</v>
      </c>
      <c r="B1" s="45" t="s">
        <v>24</v>
      </c>
      <c r="C1" s="45" t="s">
        <v>25</v>
      </c>
      <c r="D1" s="46" t="s">
        <v>26</v>
      </c>
      <c r="E1" s="46" t="s">
        <v>483</v>
      </c>
      <c r="F1" s="46" t="s">
        <v>484</v>
      </c>
      <c r="G1" s="47" t="s">
        <v>28</v>
      </c>
      <c r="H1" s="47" t="s">
        <v>29</v>
      </c>
      <c r="I1" s="47" t="s">
        <v>30</v>
      </c>
      <c r="J1" s="47" t="s">
        <v>31</v>
      </c>
      <c r="K1" s="46"/>
      <c r="L1" s="46"/>
    </row>
    <row r="2" spans="1:12" ht="15" customHeight="1" x14ac:dyDescent="0.25">
      <c r="A2" s="49" t="s">
        <v>32</v>
      </c>
      <c r="B2" s="50" t="s">
        <v>33</v>
      </c>
      <c r="C2" s="51" t="s">
        <v>34</v>
      </c>
      <c r="D2" s="51" t="s">
        <v>35</v>
      </c>
      <c r="E2" s="43" t="s">
        <v>215</v>
      </c>
      <c r="F2" s="51"/>
      <c r="G2" s="51"/>
      <c r="H2" s="51" t="s">
        <v>37</v>
      </c>
      <c r="I2" s="51" t="s">
        <v>38</v>
      </c>
      <c r="J2" s="51" t="s">
        <v>39</v>
      </c>
      <c r="K2" s="52"/>
      <c r="L2" s="52"/>
    </row>
    <row r="3" spans="1:12" ht="15" customHeight="1" x14ac:dyDescent="0.25">
      <c r="A3" s="49" t="s">
        <v>32</v>
      </c>
      <c r="B3" s="50" t="s">
        <v>33</v>
      </c>
      <c r="C3" s="51" t="s">
        <v>40</v>
      </c>
      <c r="D3" s="51" t="s">
        <v>35</v>
      </c>
      <c r="E3" s="43" t="s">
        <v>219</v>
      </c>
      <c r="F3" s="51"/>
      <c r="G3" s="51"/>
      <c r="H3" s="51" t="s">
        <v>42</v>
      </c>
      <c r="I3" s="51" t="s">
        <v>43</v>
      </c>
      <c r="J3" s="51" t="s">
        <v>44</v>
      </c>
      <c r="K3" s="52"/>
      <c r="L3" s="52"/>
    </row>
    <row r="4" spans="1:12" ht="15" customHeight="1" x14ac:dyDescent="0.25">
      <c r="A4" s="49" t="s">
        <v>32</v>
      </c>
      <c r="B4" s="50" t="s">
        <v>45</v>
      </c>
      <c r="C4" s="51" t="s">
        <v>46</v>
      </c>
      <c r="D4" s="51" t="s">
        <v>47</v>
      </c>
      <c r="E4" s="43" t="s">
        <v>225</v>
      </c>
      <c r="F4" s="51"/>
      <c r="G4" s="51"/>
      <c r="H4" s="51" t="s">
        <v>49</v>
      </c>
      <c r="I4" s="51"/>
      <c r="J4" s="51" t="s">
        <v>50</v>
      </c>
      <c r="K4" s="52"/>
      <c r="L4" s="52"/>
    </row>
    <row r="5" spans="1:12" ht="15" customHeight="1" x14ac:dyDescent="0.25">
      <c r="A5" s="49" t="s">
        <v>32</v>
      </c>
      <c r="B5" s="50" t="s">
        <v>45</v>
      </c>
      <c r="C5" s="51" t="s">
        <v>51</v>
      </c>
      <c r="D5" s="51" t="s">
        <v>47</v>
      </c>
      <c r="E5" s="43" t="s">
        <v>225</v>
      </c>
      <c r="F5" s="51"/>
      <c r="G5" s="51"/>
      <c r="H5" s="51" t="s">
        <v>53</v>
      </c>
      <c r="I5" s="51"/>
      <c r="J5" s="51" t="s">
        <v>54</v>
      </c>
      <c r="K5" s="52"/>
      <c r="L5" s="52"/>
    </row>
    <row r="6" spans="1:12" ht="15" customHeight="1" x14ac:dyDescent="0.25">
      <c r="A6" s="49" t="s">
        <v>32</v>
      </c>
      <c r="B6" s="50" t="s">
        <v>45</v>
      </c>
      <c r="C6" s="51" t="s">
        <v>55</v>
      </c>
      <c r="D6" s="51" t="s">
        <v>47</v>
      </c>
      <c r="E6" s="43" t="s">
        <v>225</v>
      </c>
      <c r="F6" s="51"/>
      <c r="G6" s="51"/>
      <c r="H6" s="51"/>
      <c r="I6" s="51"/>
      <c r="J6" s="51" t="s">
        <v>56</v>
      </c>
      <c r="K6" s="52"/>
      <c r="L6" s="52"/>
    </row>
    <row r="7" spans="1:12" ht="15" customHeight="1" x14ac:dyDescent="0.25">
      <c r="A7" s="49" t="s">
        <v>32</v>
      </c>
      <c r="B7" s="50" t="s">
        <v>45</v>
      </c>
      <c r="C7" s="51" t="s">
        <v>57</v>
      </c>
      <c r="D7" s="51" t="s">
        <v>47</v>
      </c>
      <c r="E7" s="43" t="s">
        <v>225</v>
      </c>
      <c r="F7" s="51"/>
      <c r="G7" s="51"/>
      <c r="H7" s="51"/>
      <c r="I7" s="51"/>
      <c r="J7" s="51" t="s">
        <v>58</v>
      </c>
      <c r="K7" s="52"/>
      <c r="L7" s="52"/>
    </row>
    <row r="8" spans="1:12" ht="15" customHeight="1" x14ac:dyDescent="0.25">
      <c r="A8" s="49" t="s">
        <v>32</v>
      </c>
      <c r="B8" s="50" t="s">
        <v>45</v>
      </c>
      <c r="C8" s="51" t="s">
        <v>59</v>
      </c>
      <c r="D8" s="51" t="s">
        <v>47</v>
      </c>
      <c r="E8" s="43" t="s">
        <v>225</v>
      </c>
      <c r="F8" s="51"/>
      <c r="G8" s="51"/>
      <c r="H8" s="51"/>
      <c r="I8" s="51"/>
      <c r="J8" s="51"/>
      <c r="K8" s="52"/>
      <c r="L8" s="52"/>
    </row>
    <row r="9" spans="1:12" ht="15" customHeight="1" x14ac:dyDescent="0.25">
      <c r="A9" s="49" t="s">
        <v>32</v>
      </c>
      <c r="B9" s="50" t="s">
        <v>45</v>
      </c>
      <c r="C9" s="51" t="s">
        <v>60</v>
      </c>
      <c r="D9" s="51" t="s">
        <v>35</v>
      </c>
      <c r="E9" s="43" t="s">
        <v>233</v>
      </c>
      <c r="F9" s="51"/>
      <c r="G9" s="51"/>
      <c r="H9" s="51"/>
      <c r="I9" s="51"/>
      <c r="J9" s="51"/>
      <c r="K9" s="52"/>
      <c r="L9" s="52"/>
    </row>
    <row r="10" spans="1:12" ht="15" customHeight="1" x14ac:dyDescent="0.25">
      <c r="A10" s="49" t="s">
        <v>32</v>
      </c>
      <c r="B10" s="50" t="s">
        <v>61</v>
      </c>
      <c r="C10" s="51" t="s">
        <v>62</v>
      </c>
      <c r="D10" s="51" t="s">
        <v>35</v>
      </c>
      <c r="E10" s="43" t="s">
        <v>245</v>
      </c>
      <c r="F10" s="51"/>
      <c r="G10" s="51"/>
      <c r="H10" s="51"/>
      <c r="I10" s="51"/>
      <c r="J10" s="51"/>
      <c r="K10" s="52"/>
      <c r="L10" s="52"/>
    </row>
    <row r="11" spans="1:12" ht="15" customHeight="1" x14ac:dyDescent="0.25">
      <c r="A11" s="49" t="s">
        <v>32</v>
      </c>
      <c r="B11" s="50" t="s">
        <v>61</v>
      </c>
      <c r="C11" s="51" t="s">
        <v>63</v>
      </c>
      <c r="D11" s="51" t="s">
        <v>35</v>
      </c>
      <c r="E11" s="43" t="s">
        <v>245</v>
      </c>
      <c r="F11" s="51"/>
      <c r="G11" s="51"/>
      <c r="H11" s="51"/>
      <c r="I11" s="51"/>
      <c r="J11" s="51"/>
      <c r="K11" s="52"/>
      <c r="L11" s="52"/>
    </row>
    <row r="12" spans="1:12" ht="15" customHeight="1" x14ac:dyDescent="0.25">
      <c r="A12" s="49" t="s">
        <v>32</v>
      </c>
      <c r="B12" s="50" t="s">
        <v>61</v>
      </c>
      <c r="C12" s="51" t="s">
        <v>64</v>
      </c>
      <c r="D12" s="51" t="s">
        <v>35</v>
      </c>
      <c r="E12" s="43" t="s">
        <v>245</v>
      </c>
      <c r="F12" s="51"/>
      <c r="G12" s="51"/>
      <c r="H12" s="51"/>
      <c r="I12" s="51"/>
      <c r="J12" s="51"/>
      <c r="K12" s="52"/>
      <c r="L12" s="52"/>
    </row>
    <row r="13" spans="1:12" ht="15" customHeight="1" x14ac:dyDescent="0.25">
      <c r="A13" s="49" t="s">
        <v>32</v>
      </c>
      <c r="B13" s="50" t="s">
        <v>61</v>
      </c>
      <c r="C13" s="51" t="s">
        <v>65</v>
      </c>
      <c r="D13" s="51" t="s">
        <v>35</v>
      </c>
      <c r="E13" s="43" t="s">
        <v>250</v>
      </c>
      <c r="F13" s="51"/>
      <c r="G13" s="51"/>
      <c r="H13" s="51"/>
      <c r="I13" s="51"/>
      <c r="J13" s="51"/>
      <c r="K13" s="52"/>
      <c r="L13" s="52"/>
    </row>
    <row r="14" spans="1:12" ht="15" customHeight="1" x14ac:dyDescent="0.25">
      <c r="A14" s="49" t="s">
        <v>32</v>
      </c>
      <c r="B14" s="50" t="s">
        <v>66</v>
      </c>
      <c r="C14" s="51" t="s">
        <v>67</v>
      </c>
      <c r="D14" s="51" t="s">
        <v>35</v>
      </c>
      <c r="E14" s="43" t="s">
        <v>215</v>
      </c>
      <c r="F14" s="51"/>
      <c r="G14" s="51"/>
      <c r="H14" s="51"/>
      <c r="I14" s="51"/>
      <c r="J14" s="51"/>
      <c r="K14" s="52"/>
      <c r="L14" s="52"/>
    </row>
    <row r="15" spans="1:12" ht="15" customHeight="1" x14ac:dyDescent="0.25">
      <c r="A15" s="49" t="s">
        <v>32</v>
      </c>
      <c r="B15" s="50" t="s">
        <v>68</v>
      </c>
      <c r="C15" s="51" t="s">
        <v>69</v>
      </c>
      <c r="D15" s="51" t="s">
        <v>35</v>
      </c>
      <c r="E15" s="44" t="s">
        <v>236</v>
      </c>
      <c r="F15" s="51"/>
      <c r="G15" s="51"/>
      <c r="H15" s="51"/>
      <c r="I15" s="51"/>
      <c r="J15" s="51"/>
      <c r="K15" s="52"/>
      <c r="L15" s="52"/>
    </row>
    <row r="16" spans="1:12" ht="15" customHeight="1" x14ac:dyDescent="0.25">
      <c r="A16" s="49" t="s">
        <v>32</v>
      </c>
      <c r="B16" s="50" t="s">
        <v>68</v>
      </c>
      <c r="C16" s="51" t="s">
        <v>259</v>
      </c>
      <c r="D16" s="51" t="s">
        <v>35</v>
      </c>
      <c r="E16" s="44" t="s">
        <v>239</v>
      </c>
      <c r="F16" s="51"/>
      <c r="G16" s="51"/>
      <c r="H16" s="51"/>
      <c r="I16" s="51"/>
      <c r="J16" s="51"/>
      <c r="K16" s="52"/>
      <c r="L16" s="52"/>
    </row>
    <row r="17" spans="1:12" ht="15" customHeight="1" x14ac:dyDescent="0.25">
      <c r="A17" s="49" t="s">
        <v>32</v>
      </c>
      <c r="B17" s="50" t="s">
        <v>68</v>
      </c>
      <c r="C17" s="51" t="s">
        <v>71</v>
      </c>
      <c r="D17" s="51" t="s">
        <v>35</v>
      </c>
      <c r="E17" s="44" t="s">
        <v>236</v>
      </c>
      <c r="F17" s="51"/>
      <c r="G17" s="51"/>
      <c r="H17" s="51"/>
      <c r="I17" s="51"/>
      <c r="J17" s="51"/>
      <c r="K17" s="52"/>
      <c r="L17" s="52"/>
    </row>
    <row r="18" spans="1:12" ht="15" customHeight="1" x14ac:dyDescent="0.25">
      <c r="A18" s="49" t="s">
        <v>32</v>
      </c>
      <c r="B18" s="50" t="s">
        <v>68</v>
      </c>
      <c r="C18" s="51" t="s">
        <v>72</v>
      </c>
      <c r="D18" s="51" t="s">
        <v>35</v>
      </c>
      <c r="E18" s="44" t="s">
        <v>225</v>
      </c>
      <c r="F18" s="51"/>
      <c r="G18" s="51"/>
      <c r="H18" s="51"/>
      <c r="I18" s="51"/>
      <c r="J18" s="51"/>
      <c r="K18" s="52"/>
      <c r="L18" s="52"/>
    </row>
    <row r="19" spans="1:12" ht="15" customHeight="1" x14ac:dyDescent="0.25">
      <c r="A19" s="49" t="s">
        <v>32</v>
      </c>
      <c r="B19" s="50" t="s">
        <v>68</v>
      </c>
      <c r="C19" s="51" t="s">
        <v>73</v>
      </c>
      <c r="D19" s="51"/>
      <c r="E19" s="44" t="s">
        <v>236</v>
      </c>
      <c r="F19" s="51"/>
      <c r="G19" s="51"/>
      <c r="H19" s="51"/>
      <c r="I19" s="51"/>
      <c r="J19" s="51"/>
      <c r="K19" s="52"/>
      <c r="L19" s="52"/>
    </row>
    <row r="20" spans="1:12" ht="15" customHeight="1" x14ac:dyDescent="0.25">
      <c r="A20" s="49" t="s">
        <v>32</v>
      </c>
      <c r="B20" s="50" t="s">
        <v>45</v>
      </c>
      <c r="C20" s="51" t="s">
        <v>74</v>
      </c>
      <c r="D20" s="51"/>
      <c r="E20" s="43" t="s">
        <v>239</v>
      </c>
      <c r="F20" s="51"/>
      <c r="G20" s="51"/>
      <c r="H20" s="51"/>
      <c r="I20" s="51"/>
      <c r="J20" s="51"/>
      <c r="K20" s="52"/>
      <c r="L20" s="52"/>
    </row>
    <row r="21" spans="1:12" ht="15" customHeight="1" x14ac:dyDescent="0.25">
      <c r="A21" s="49" t="s">
        <v>32</v>
      </c>
      <c r="B21" s="50" t="s">
        <v>68</v>
      </c>
      <c r="C21" s="51" t="s">
        <v>272</v>
      </c>
      <c r="D21" s="51" t="s">
        <v>35</v>
      </c>
      <c r="E21" s="43" t="s">
        <v>239</v>
      </c>
      <c r="F21" s="51"/>
      <c r="G21" s="51"/>
      <c r="H21" s="51"/>
      <c r="I21" s="51"/>
      <c r="J21" s="51"/>
      <c r="K21" s="52"/>
      <c r="L21" s="52"/>
    </row>
    <row r="22" spans="1:12" ht="15" customHeight="1" x14ac:dyDescent="0.25">
      <c r="A22" s="49" t="s">
        <v>76</v>
      </c>
      <c r="B22" s="50" t="s">
        <v>275</v>
      </c>
      <c r="C22" s="51" t="s">
        <v>78</v>
      </c>
      <c r="D22" s="51" t="s">
        <v>47</v>
      </c>
      <c r="E22" s="43" t="s">
        <v>277</v>
      </c>
      <c r="F22" s="51"/>
      <c r="G22" s="51"/>
      <c r="H22" s="51"/>
      <c r="I22" s="51"/>
      <c r="J22" s="51"/>
      <c r="K22" s="52"/>
      <c r="L22" s="52"/>
    </row>
    <row r="23" spans="1:12" s="53" customFormat="1" ht="15" customHeight="1" x14ac:dyDescent="0.25">
      <c r="A23" s="49" t="s">
        <v>76</v>
      </c>
      <c r="B23" s="50" t="s">
        <v>275</v>
      </c>
      <c r="C23" s="51" t="s">
        <v>79</v>
      </c>
      <c r="D23" s="51" t="s">
        <v>47</v>
      </c>
      <c r="E23" s="43" t="s">
        <v>281</v>
      </c>
      <c r="F23" s="51"/>
      <c r="G23" s="51"/>
      <c r="H23" s="51"/>
      <c r="I23" s="51"/>
      <c r="J23" s="51"/>
      <c r="K23" s="52"/>
      <c r="L23" s="52"/>
    </row>
    <row r="24" spans="1:12" s="53" customFormat="1" ht="15" customHeight="1" x14ac:dyDescent="0.25">
      <c r="A24" s="49" t="s">
        <v>76</v>
      </c>
      <c r="B24" s="50" t="s">
        <v>275</v>
      </c>
      <c r="C24" s="51" t="s">
        <v>80</v>
      </c>
      <c r="D24" s="51" t="s">
        <v>47</v>
      </c>
      <c r="E24" s="43" t="s">
        <v>281</v>
      </c>
      <c r="F24" s="51"/>
      <c r="G24" s="51"/>
      <c r="H24" s="51"/>
      <c r="I24" s="51"/>
      <c r="J24" s="51"/>
      <c r="K24" s="52"/>
      <c r="L24" s="52"/>
    </row>
    <row r="25" spans="1:12" s="53" customFormat="1" ht="15" customHeight="1" x14ac:dyDescent="0.25">
      <c r="A25" s="49" t="s">
        <v>76</v>
      </c>
      <c r="B25" s="50" t="s">
        <v>275</v>
      </c>
      <c r="C25" s="51" t="s">
        <v>81</v>
      </c>
      <c r="D25" s="51" t="s">
        <v>47</v>
      </c>
      <c r="E25" s="43" t="s">
        <v>288</v>
      </c>
      <c r="F25" s="51"/>
      <c r="G25" s="51"/>
      <c r="H25" s="51"/>
      <c r="I25" s="51"/>
      <c r="J25" s="51"/>
      <c r="K25" s="52"/>
      <c r="L25" s="52"/>
    </row>
    <row r="26" spans="1:12" s="53" customFormat="1" ht="15" customHeight="1" x14ac:dyDescent="0.25">
      <c r="A26" s="49" t="s">
        <v>76</v>
      </c>
      <c r="B26" s="50" t="s">
        <v>291</v>
      </c>
      <c r="C26" s="51" t="s">
        <v>85</v>
      </c>
      <c r="D26" s="51" t="s">
        <v>47</v>
      </c>
      <c r="E26" s="43" t="s">
        <v>277</v>
      </c>
      <c r="F26" s="51"/>
      <c r="G26" s="51"/>
      <c r="H26" s="51"/>
      <c r="I26" s="51"/>
      <c r="J26" s="51"/>
      <c r="K26" s="52"/>
      <c r="L26" s="52"/>
    </row>
    <row r="27" spans="1:12" s="53" customFormat="1" ht="15" customHeight="1" x14ac:dyDescent="0.25">
      <c r="A27" s="49" t="s">
        <v>76</v>
      </c>
      <c r="B27" s="50" t="s">
        <v>291</v>
      </c>
      <c r="C27" s="51" t="s">
        <v>86</v>
      </c>
      <c r="D27" s="51" t="s">
        <v>47</v>
      </c>
      <c r="E27" s="43" t="s">
        <v>277</v>
      </c>
      <c r="F27" s="51"/>
      <c r="G27" s="51"/>
      <c r="H27" s="51"/>
      <c r="I27" s="51"/>
      <c r="J27" s="51"/>
      <c r="K27" s="52"/>
      <c r="L27" s="52"/>
    </row>
    <row r="28" spans="1:12" s="55" customFormat="1" ht="15" customHeight="1" x14ac:dyDescent="0.25">
      <c r="A28" s="54" t="s">
        <v>76</v>
      </c>
      <c r="B28" s="50" t="s">
        <v>291</v>
      </c>
      <c r="C28" s="51" t="s">
        <v>87</v>
      </c>
      <c r="D28" s="51" t="s">
        <v>47</v>
      </c>
      <c r="E28" s="43" t="s">
        <v>277</v>
      </c>
      <c r="F28" s="51"/>
      <c r="G28" s="51"/>
      <c r="H28" s="51"/>
      <c r="I28" s="51"/>
      <c r="J28" s="51"/>
      <c r="K28" s="52"/>
      <c r="L28" s="52"/>
    </row>
    <row r="29" spans="1:12" s="53" customFormat="1" ht="15" customHeight="1" x14ac:dyDescent="0.25">
      <c r="A29" s="49" t="s">
        <v>76</v>
      </c>
      <c r="B29" s="50" t="s">
        <v>88</v>
      </c>
      <c r="C29" s="51" t="s">
        <v>89</v>
      </c>
      <c r="D29" s="51" t="s">
        <v>47</v>
      </c>
      <c r="E29" s="43" t="s">
        <v>277</v>
      </c>
      <c r="F29" s="51"/>
      <c r="G29" s="51"/>
      <c r="H29" s="51"/>
      <c r="I29" s="51"/>
      <c r="J29" s="51"/>
      <c r="K29" s="52"/>
      <c r="L29" s="52"/>
    </row>
    <row r="30" spans="1:12" s="53" customFormat="1" ht="15" customHeight="1" x14ac:dyDescent="0.25">
      <c r="A30" s="49" t="s">
        <v>76</v>
      </c>
      <c r="B30" s="50" t="s">
        <v>88</v>
      </c>
      <c r="C30" s="51" t="s">
        <v>90</v>
      </c>
      <c r="D30" s="51" t="s">
        <v>47</v>
      </c>
      <c r="E30" s="43" t="s">
        <v>277</v>
      </c>
      <c r="F30" s="51"/>
      <c r="G30" s="51"/>
      <c r="H30" s="51"/>
      <c r="I30" s="51"/>
      <c r="J30" s="51"/>
      <c r="K30" s="52"/>
      <c r="L30" s="52"/>
    </row>
    <row r="31" spans="1:12" s="53" customFormat="1" ht="15" customHeight="1" x14ac:dyDescent="0.25">
      <c r="A31" s="49" t="s">
        <v>76</v>
      </c>
      <c r="B31" s="50" t="s">
        <v>88</v>
      </c>
      <c r="C31" s="51" t="s">
        <v>305</v>
      </c>
      <c r="D31" s="51" t="s">
        <v>47</v>
      </c>
      <c r="E31" s="43" t="s">
        <v>302</v>
      </c>
      <c r="F31" s="51"/>
      <c r="G31" s="51"/>
      <c r="H31" s="51"/>
      <c r="I31" s="51"/>
      <c r="J31" s="51"/>
      <c r="K31" s="52"/>
      <c r="L31" s="52"/>
    </row>
    <row r="32" spans="1:12" s="53" customFormat="1" ht="15" customHeight="1" x14ac:dyDescent="0.25">
      <c r="A32" s="49" t="s">
        <v>76</v>
      </c>
      <c r="B32" s="50" t="s">
        <v>88</v>
      </c>
      <c r="C32" s="51" t="s">
        <v>92</v>
      </c>
      <c r="D32" s="51" t="s">
        <v>47</v>
      </c>
      <c r="E32" s="43" t="s">
        <v>302</v>
      </c>
      <c r="F32" s="51"/>
      <c r="G32" s="51"/>
      <c r="H32" s="51"/>
      <c r="I32" s="51"/>
      <c r="J32" s="51"/>
      <c r="K32" s="52"/>
      <c r="L32" s="52"/>
    </row>
    <row r="33" spans="1:12" s="53" customFormat="1" ht="15" customHeight="1" x14ac:dyDescent="0.25">
      <c r="A33" s="49" t="s">
        <v>76</v>
      </c>
      <c r="B33" s="50" t="s">
        <v>88</v>
      </c>
      <c r="C33" s="51" t="s">
        <v>310</v>
      </c>
      <c r="D33" s="51"/>
      <c r="E33" s="43" t="s">
        <v>263</v>
      </c>
      <c r="F33" s="51"/>
      <c r="G33" s="51"/>
      <c r="H33" s="51"/>
      <c r="I33" s="51"/>
      <c r="J33" s="51"/>
      <c r="K33" s="52"/>
      <c r="L33" s="52"/>
    </row>
    <row r="34" spans="1:12" ht="15" customHeight="1" x14ac:dyDescent="0.25">
      <c r="A34" s="49" t="s">
        <v>76</v>
      </c>
      <c r="B34" s="50" t="s">
        <v>93</v>
      </c>
      <c r="C34" s="51" t="s">
        <v>94</v>
      </c>
      <c r="D34" s="51" t="s">
        <v>35</v>
      </c>
      <c r="E34" s="43" t="s">
        <v>227</v>
      </c>
      <c r="F34" s="51"/>
      <c r="G34" s="51"/>
      <c r="H34" s="51"/>
      <c r="I34" s="51"/>
      <c r="J34" s="51"/>
      <c r="K34" s="52"/>
      <c r="L34" s="52"/>
    </row>
    <row r="35" spans="1:12" ht="15" customHeight="1" x14ac:dyDescent="0.25">
      <c r="A35" s="49" t="s">
        <v>76</v>
      </c>
      <c r="B35" s="50" t="s">
        <v>93</v>
      </c>
      <c r="C35" s="51" t="s">
        <v>95</v>
      </c>
      <c r="D35" s="51" t="s">
        <v>35</v>
      </c>
      <c r="E35" s="43" t="s">
        <v>292</v>
      </c>
      <c r="F35" s="51"/>
      <c r="G35" s="51"/>
      <c r="H35" s="51"/>
      <c r="I35" s="51"/>
      <c r="J35" s="51"/>
      <c r="K35" s="52"/>
      <c r="L35" s="52"/>
    </row>
    <row r="36" spans="1:12" ht="15" customHeight="1" x14ac:dyDescent="0.25">
      <c r="A36" s="49" t="s">
        <v>76</v>
      </c>
      <c r="B36" s="50" t="s">
        <v>93</v>
      </c>
      <c r="C36" s="51" t="s">
        <v>96</v>
      </c>
      <c r="D36" s="51" t="s">
        <v>35</v>
      </c>
      <c r="E36" s="43" t="s">
        <v>227</v>
      </c>
      <c r="F36" s="51"/>
      <c r="G36" s="51"/>
      <c r="H36" s="51"/>
      <c r="I36" s="51"/>
      <c r="J36" s="51"/>
      <c r="K36" s="52"/>
      <c r="L36" s="52"/>
    </row>
    <row r="37" spans="1:12" ht="15" customHeight="1" x14ac:dyDescent="0.25">
      <c r="A37" s="49" t="s">
        <v>76</v>
      </c>
      <c r="B37" s="50" t="s">
        <v>93</v>
      </c>
      <c r="C37" s="51" t="s">
        <v>97</v>
      </c>
      <c r="D37" s="51" t="s">
        <v>35</v>
      </c>
      <c r="E37" s="43" t="s">
        <v>227</v>
      </c>
      <c r="F37" s="51"/>
      <c r="G37" s="51"/>
      <c r="H37" s="51"/>
      <c r="I37" s="51"/>
      <c r="J37" s="51"/>
      <c r="K37" s="52"/>
      <c r="L37" s="52"/>
    </row>
    <row r="38" spans="1:12" ht="15" customHeight="1" x14ac:dyDescent="0.25">
      <c r="A38" s="49" t="s">
        <v>76</v>
      </c>
      <c r="B38" s="50" t="s">
        <v>93</v>
      </c>
      <c r="C38" s="51" t="s">
        <v>324</v>
      </c>
      <c r="D38" s="51" t="s">
        <v>35</v>
      </c>
      <c r="E38" s="43" t="s">
        <v>263</v>
      </c>
      <c r="F38" s="51"/>
      <c r="G38" s="51"/>
      <c r="H38" s="51"/>
      <c r="I38" s="51"/>
      <c r="J38" s="51"/>
      <c r="K38" s="52"/>
      <c r="L38" s="52"/>
    </row>
    <row r="39" spans="1:12" s="53" customFormat="1" ht="15" customHeight="1" x14ac:dyDescent="0.25">
      <c r="A39" s="49" t="s">
        <v>76</v>
      </c>
      <c r="B39" s="50" t="s">
        <v>99</v>
      </c>
      <c r="C39" s="51" t="s">
        <v>327</v>
      </c>
      <c r="D39" s="51" t="s">
        <v>35</v>
      </c>
      <c r="E39" s="43" t="s">
        <v>329</v>
      </c>
      <c r="F39" s="51"/>
      <c r="G39" s="51"/>
      <c r="H39" s="51"/>
      <c r="I39" s="51"/>
      <c r="J39" s="51"/>
      <c r="K39" s="56"/>
      <c r="L39" s="56"/>
    </row>
    <row r="40" spans="1:12" s="53" customFormat="1" ht="15" customHeight="1" x14ac:dyDescent="0.25">
      <c r="A40" s="49" t="s">
        <v>76</v>
      </c>
      <c r="B40" s="50" t="s">
        <v>99</v>
      </c>
      <c r="C40" s="51" t="s">
        <v>99</v>
      </c>
      <c r="D40" s="51" t="s">
        <v>35</v>
      </c>
      <c r="E40" s="43" t="s">
        <v>329</v>
      </c>
      <c r="F40" s="51"/>
      <c r="G40" s="51"/>
      <c r="H40" s="51"/>
      <c r="I40" s="51"/>
      <c r="J40" s="51"/>
      <c r="K40" s="56"/>
      <c r="L40" s="56"/>
    </row>
    <row r="41" spans="1:12" s="53" customFormat="1" ht="15" customHeight="1" x14ac:dyDescent="0.25">
      <c r="A41" s="49" t="s">
        <v>76</v>
      </c>
      <c r="B41" s="50" t="s">
        <v>99</v>
      </c>
      <c r="C41" s="51" t="s">
        <v>334</v>
      </c>
      <c r="D41" s="51" t="s">
        <v>35</v>
      </c>
      <c r="E41" s="43" t="s">
        <v>329</v>
      </c>
      <c r="F41" s="51"/>
      <c r="G41" s="51"/>
      <c r="H41" s="51"/>
      <c r="I41" s="51"/>
      <c r="J41" s="51"/>
      <c r="K41" s="56"/>
      <c r="L41" s="56"/>
    </row>
    <row r="42" spans="1:12" s="53" customFormat="1" ht="15" customHeight="1" x14ac:dyDescent="0.25">
      <c r="A42" s="49" t="s">
        <v>76</v>
      </c>
      <c r="B42" s="50" t="s">
        <v>102</v>
      </c>
      <c r="C42" s="51" t="s">
        <v>103</v>
      </c>
      <c r="D42" s="51"/>
      <c r="E42" s="43" t="s">
        <v>329</v>
      </c>
      <c r="F42" s="51"/>
      <c r="G42" s="51"/>
      <c r="H42" s="51"/>
      <c r="I42" s="51"/>
      <c r="J42" s="51"/>
      <c r="K42" s="57"/>
      <c r="L42" s="57"/>
    </row>
    <row r="43" spans="1:12" s="53" customFormat="1" ht="15" customHeight="1" x14ac:dyDescent="0.25">
      <c r="A43" s="49" t="s">
        <v>76</v>
      </c>
      <c r="B43" s="50" t="s">
        <v>102</v>
      </c>
      <c r="C43" s="51" t="s">
        <v>104</v>
      </c>
      <c r="D43" s="51"/>
      <c r="E43" s="43" t="s">
        <v>329</v>
      </c>
      <c r="F43" s="51"/>
      <c r="G43" s="51"/>
      <c r="H43" s="51"/>
      <c r="I43" s="51"/>
      <c r="J43" s="51"/>
      <c r="K43" s="57"/>
      <c r="L43" s="57"/>
    </row>
    <row r="44" spans="1:12" s="53" customFormat="1" ht="15" customHeight="1" x14ac:dyDescent="0.25">
      <c r="A44" s="49" t="s">
        <v>76</v>
      </c>
      <c r="B44" s="50" t="s">
        <v>102</v>
      </c>
      <c r="C44" s="51" t="s">
        <v>105</v>
      </c>
      <c r="D44" s="51"/>
      <c r="E44" s="43" t="s">
        <v>341</v>
      </c>
      <c r="F44" s="51"/>
      <c r="G44" s="51"/>
      <c r="H44" s="51"/>
      <c r="I44" s="51"/>
      <c r="J44" s="51"/>
      <c r="K44" s="57"/>
      <c r="L44" s="57"/>
    </row>
    <row r="45" spans="1:12" ht="15" customHeight="1" x14ac:dyDescent="0.25">
      <c r="A45" s="49" t="s">
        <v>76</v>
      </c>
      <c r="B45" s="50" t="s">
        <v>106</v>
      </c>
      <c r="C45" s="51" t="s">
        <v>107</v>
      </c>
      <c r="D45" s="51"/>
      <c r="E45" s="43" t="s">
        <v>281</v>
      </c>
      <c r="F45" s="51"/>
      <c r="G45" s="51"/>
      <c r="H45" s="51"/>
      <c r="I45" s="51"/>
      <c r="J45" s="51"/>
      <c r="K45" s="52"/>
      <c r="L45" s="52"/>
    </row>
    <row r="46" spans="1:12" ht="15" customHeight="1" x14ac:dyDescent="0.25">
      <c r="A46" s="49" t="s">
        <v>108</v>
      </c>
      <c r="B46" s="50" t="s">
        <v>109</v>
      </c>
      <c r="C46" s="51" t="s">
        <v>110</v>
      </c>
      <c r="D46" s="51"/>
      <c r="E46" s="43" t="s">
        <v>225</v>
      </c>
      <c r="F46" s="51"/>
      <c r="G46" s="51"/>
      <c r="H46" s="51"/>
      <c r="I46" s="51"/>
      <c r="J46" s="51"/>
      <c r="K46" s="52"/>
      <c r="L46" s="52"/>
    </row>
    <row r="47" spans="1:12" ht="15" customHeight="1" x14ac:dyDescent="0.25">
      <c r="A47" s="49" t="s">
        <v>108</v>
      </c>
      <c r="B47" s="50" t="s">
        <v>109</v>
      </c>
      <c r="C47" s="51" t="s">
        <v>111</v>
      </c>
      <c r="D47" s="51"/>
      <c r="E47" s="43" t="s">
        <v>225</v>
      </c>
      <c r="F47" s="51"/>
      <c r="G47" s="51"/>
      <c r="H47" s="51"/>
      <c r="I47" s="51"/>
      <c r="J47" s="51"/>
      <c r="K47" s="52"/>
      <c r="L47" s="52"/>
    </row>
    <row r="48" spans="1:12" ht="15" customHeight="1" x14ac:dyDescent="0.25">
      <c r="A48" s="49" t="s">
        <v>108</v>
      </c>
      <c r="B48" s="50" t="s">
        <v>112</v>
      </c>
      <c r="C48" s="51" t="s">
        <v>113</v>
      </c>
      <c r="D48" s="51"/>
      <c r="E48" s="43" t="s">
        <v>221</v>
      </c>
      <c r="F48" s="51"/>
      <c r="G48" s="51"/>
      <c r="H48" s="51"/>
      <c r="I48" s="51"/>
      <c r="J48" s="51"/>
      <c r="K48" s="52"/>
      <c r="L48" s="52"/>
    </row>
    <row r="49" spans="1:12" ht="15" customHeight="1" x14ac:dyDescent="0.25">
      <c r="A49" s="49" t="s">
        <v>108</v>
      </c>
      <c r="B49" s="50" t="s">
        <v>112</v>
      </c>
      <c r="C49" s="51" t="s">
        <v>114</v>
      </c>
      <c r="D49" s="51"/>
      <c r="E49" s="43" t="s">
        <v>221</v>
      </c>
      <c r="F49" s="51"/>
      <c r="G49" s="51"/>
      <c r="H49" s="51"/>
      <c r="I49" s="51"/>
      <c r="J49" s="51"/>
      <c r="K49" s="52"/>
      <c r="L49" s="52"/>
    </row>
    <row r="50" spans="1:12" ht="15" customHeight="1" x14ac:dyDescent="0.25">
      <c r="A50" s="49" t="s">
        <v>108</v>
      </c>
      <c r="B50" s="50" t="s">
        <v>115</v>
      </c>
      <c r="C50" s="51" t="s">
        <v>116</v>
      </c>
      <c r="D50" s="51"/>
      <c r="E50" s="43" t="s">
        <v>354</v>
      </c>
      <c r="F50" s="51"/>
      <c r="G50" s="51"/>
      <c r="H50" s="51"/>
      <c r="I50" s="51"/>
      <c r="J50" s="51"/>
      <c r="K50" s="52"/>
      <c r="L50" s="52"/>
    </row>
    <row r="51" spans="1:12" ht="15" customHeight="1" x14ac:dyDescent="0.25">
      <c r="A51" s="49" t="s">
        <v>108</v>
      </c>
      <c r="B51" s="50" t="s">
        <v>115</v>
      </c>
      <c r="C51" s="51" t="s">
        <v>117</v>
      </c>
      <c r="D51" s="51"/>
      <c r="E51" s="43" t="s">
        <v>219</v>
      </c>
      <c r="F51" s="51"/>
      <c r="G51" s="51"/>
      <c r="H51" s="51"/>
      <c r="I51" s="51"/>
      <c r="J51" s="51"/>
      <c r="K51" s="52"/>
      <c r="L51" s="52"/>
    </row>
    <row r="52" spans="1:12" ht="15" customHeight="1" x14ac:dyDescent="0.25">
      <c r="A52" s="49" t="s">
        <v>108</v>
      </c>
      <c r="B52" s="50" t="s">
        <v>115</v>
      </c>
      <c r="C52" s="51" t="s">
        <v>118</v>
      </c>
      <c r="D52" s="51"/>
      <c r="E52" s="43" t="s">
        <v>219</v>
      </c>
      <c r="F52" s="51"/>
      <c r="G52" s="51"/>
      <c r="H52" s="51"/>
      <c r="I52" s="51"/>
      <c r="J52" s="51"/>
      <c r="K52" s="52"/>
      <c r="L52" s="52"/>
    </row>
    <row r="53" spans="1:12" ht="15" customHeight="1" x14ac:dyDescent="0.25">
      <c r="A53" s="49" t="s">
        <v>108</v>
      </c>
      <c r="B53" s="50" t="s">
        <v>115</v>
      </c>
      <c r="C53" s="51" t="s">
        <v>119</v>
      </c>
      <c r="D53" s="51"/>
      <c r="E53" s="43" t="s">
        <v>354</v>
      </c>
      <c r="F53" s="51"/>
      <c r="G53" s="51"/>
      <c r="H53" s="51"/>
      <c r="I53" s="51"/>
      <c r="J53" s="51"/>
      <c r="K53" s="52"/>
      <c r="L53" s="52"/>
    </row>
    <row r="54" spans="1:12" ht="15" customHeight="1" x14ac:dyDescent="0.25">
      <c r="A54" s="49" t="s">
        <v>108</v>
      </c>
      <c r="B54" s="50" t="s">
        <v>115</v>
      </c>
      <c r="C54" s="51" t="s">
        <v>120</v>
      </c>
      <c r="D54" s="51"/>
      <c r="E54" s="43" t="s">
        <v>219</v>
      </c>
      <c r="F54" s="51"/>
      <c r="G54" s="51"/>
      <c r="H54" s="51"/>
      <c r="I54" s="51"/>
      <c r="J54" s="51"/>
      <c r="K54" s="52"/>
      <c r="L54" s="52"/>
    </row>
    <row r="55" spans="1:12" ht="15" customHeight="1" x14ac:dyDescent="0.25">
      <c r="A55" s="49" t="s">
        <v>108</v>
      </c>
      <c r="B55" s="50" t="s">
        <v>121</v>
      </c>
      <c r="C55" s="51" t="s">
        <v>122</v>
      </c>
      <c r="D55" s="51"/>
      <c r="E55" s="43" t="s">
        <v>354</v>
      </c>
      <c r="F55" s="51"/>
      <c r="G55" s="51"/>
      <c r="H55" s="51"/>
      <c r="I55" s="51"/>
      <c r="J55" s="51"/>
      <c r="K55" s="52"/>
      <c r="L55" s="52"/>
    </row>
    <row r="56" spans="1:12" ht="15" customHeight="1" x14ac:dyDescent="0.25">
      <c r="A56" s="49" t="s">
        <v>108</v>
      </c>
      <c r="B56" s="50" t="s">
        <v>121</v>
      </c>
      <c r="C56" s="51" t="s">
        <v>123</v>
      </c>
      <c r="D56" s="51"/>
      <c r="E56" s="43" t="s">
        <v>354</v>
      </c>
      <c r="F56" s="51"/>
      <c r="G56" s="51"/>
      <c r="H56" s="51"/>
      <c r="I56" s="51"/>
      <c r="J56" s="51"/>
      <c r="K56" s="52"/>
      <c r="L56" s="52"/>
    </row>
    <row r="57" spans="1:12" ht="15" customHeight="1" x14ac:dyDescent="0.25">
      <c r="A57" s="49" t="s">
        <v>108</v>
      </c>
      <c r="B57" s="50" t="s">
        <v>124</v>
      </c>
      <c r="C57" s="51" t="s">
        <v>125</v>
      </c>
      <c r="D57" s="51"/>
      <c r="E57" s="43" t="s">
        <v>230</v>
      </c>
      <c r="F57" s="51"/>
      <c r="G57" s="51"/>
      <c r="H57" s="51"/>
      <c r="I57" s="51"/>
      <c r="J57" s="51"/>
      <c r="K57" s="52"/>
      <c r="L57" s="52"/>
    </row>
    <row r="58" spans="1:12" ht="15" customHeight="1" x14ac:dyDescent="0.25">
      <c r="A58" s="49" t="s">
        <v>108</v>
      </c>
      <c r="B58" s="50" t="s">
        <v>124</v>
      </c>
      <c r="C58" s="51" t="s">
        <v>126</v>
      </c>
      <c r="D58" s="51"/>
      <c r="E58" s="43" t="s">
        <v>230</v>
      </c>
      <c r="F58" s="51"/>
      <c r="G58" s="51"/>
      <c r="H58" s="51"/>
      <c r="I58" s="51"/>
      <c r="J58" s="51"/>
      <c r="K58" s="52"/>
      <c r="L58" s="52"/>
    </row>
    <row r="59" spans="1:12" ht="15" customHeight="1" x14ac:dyDescent="0.25">
      <c r="A59" s="49" t="s">
        <v>108</v>
      </c>
      <c r="B59" s="50" t="s">
        <v>124</v>
      </c>
      <c r="C59" s="51" t="s">
        <v>127</v>
      </c>
      <c r="D59" s="51"/>
      <c r="E59" s="43" t="s">
        <v>219</v>
      </c>
      <c r="F59" s="51"/>
      <c r="G59" s="51"/>
      <c r="H59" s="51"/>
      <c r="I59" s="51"/>
      <c r="J59" s="51"/>
      <c r="K59" s="52"/>
      <c r="L59" s="52"/>
    </row>
    <row r="60" spans="1:12" ht="15" customHeight="1" x14ac:dyDescent="0.25">
      <c r="A60" s="49" t="s">
        <v>108</v>
      </c>
      <c r="B60" s="50" t="s">
        <v>124</v>
      </c>
      <c r="C60" s="51" t="s">
        <v>128</v>
      </c>
      <c r="D60" s="51"/>
      <c r="E60" s="43" t="s">
        <v>230</v>
      </c>
      <c r="F60" s="51"/>
      <c r="G60" s="51"/>
      <c r="H60" s="51"/>
      <c r="I60" s="51"/>
      <c r="J60" s="51"/>
      <c r="K60" s="52"/>
      <c r="L60" s="52"/>
    </row>
    <row r="61" spans="1:12" ht="15" customHeight="1" x14ac:dyDescent="0.25">
      <c r="A61" s="49" t="s">
        <v>108</v>
      </c>
      <c r="B61" s="50" t="s">
        <v>377</v>
      </c>
      <c r="C61" s="51" t="s">
        <v>130</v>
      </c>
      <c r="D61" s="51"/>
      <c r="E61" s="43" t="s">
        <v>378</v>
      </c>
      <c r="F61" s="51"/>
      <c r="G61" s="51"/>
      <c r="H61" s="51"/>
      <c r="I61" s="51"/>
      <c r="J61" s="51"/>
      <c r="K61" s="52"/>
      <c r="L61" s="52"/>
    </row>
    <row r="62" spans="1:12" ht="15" customHeight="1" x14ac:dyDescent="0.25">
      <c r="A62" s="49" t="s">
        <v>108</v>
      </c>
      <c r="B62" s="50" t="s">
        <v>377</v>
      </c>
      <c r="C62" s="51" t="s">
        <v>131</v>
      </c>
      <c r="D62" s="51"/>
      <c r="E62" s="43" t="s">
        <v>378</v>
      </c>
      <c r="F62" s="51"/>
      <c r="G62" s="51"/>
      <c r="H62" s="51"/>
      <c r="I62" s="51"/>
      <c r="J62" s="51"/>
      <c r="K62" s="52"/>
      <c r="L62" s="52"/>
    </row>
    <row r="63" spans="1:12" ht="15" customHeight="1" x14ac:dyDescent="0.25">
      <c r="A63" s="49" t="s">
        <v>108</v>
      </c>
      <c r="B63" s="50" t="s">
        <v>377</v>
      </c>
      <c r="C63" s="51" t="s">
        <v>133</v>
      </c>
      <c r="D63" s="51"/>
      <c r="E63" s="43" t="s">
        <v>383</v>
      </c>
      <c r="F63" s="51"/>
      <c r="G63" s="51"/>
      <c r="H63" s="51"/>
      <c r="I63" s="51"/>
      <c r="J63" s="51"/>
      <c r="K63" s="52"/>
      <c r="L63" s="52"/>
    </row>
    <row r="64" spans="1:12" ht="15" customHeight="1" x14ac:dyDescent="0.25">
      <c r="A64" s="49" t="s">
        <v>134</v>
      </c>
      <c r="B64" s="58" t="s">
        <v>135</v>
      </c>
      <c r="C64" s="51" t="s">
        <v>136</v>
      </c>
      <c r="D64" s="51" t="s">
        <v>137</v>
      </c>
      <c r="E64" s="43" t="s">
        <v>263</v>
      </c>
      <c r="F64" s="51"/>
      <c r="G64" s="51"/>
      <c r="H64" s="51"/>
      <c r="I64" s="51"/>
      <c r="J64" s="51"/>
      <c r="K64" s="52"/>
      <c r="L64" s="52"/>
    </row>
    <row r="65" spans="1:12" ht="15" customHeight="1" x14ac:dyDescent="0.25">
      <c r="A65" s="49" t="s">
        <v>134</v>
      </c>
      <c r="B65" s="50" t="s">
        <v>138</v>
      </c>
      <c r="C65" s="51" t="s">
        <v>139</v>
      </c>
      <c r="D65" s="51"/>
      <c r="E65" s="43" t="s">
        <v>263</v>
      </c>
      <c r="F65" s="51"/>
      <c r="G65" s="51"/>
      <c r="H65" s="51"/>
      <c r="I65" s="51"/>
      <c r="J65" s="51"/>
      <c r="K65" s="52"/>
      <c r="L65" s="52"/>
    </row>
    <row r="66" spans="1:12" ht="15" customHeight="1" x14ac:dyDescent="0.25">
      <c r="A66" s="49" t="s">
        <v>134</v>
      </c>
      <c r="B66" s="50" t="s">
        <v>138</v>
      </c>
      <c r="C66" s="51" t="s">
        <v>140</v>
      </c>
      <c r="D66" s="51"/>
      <c r="E66" s="43" t="s">
        <v>329</v>
      </c>
      <c r="F66" s="51"/>
      <c r="G66" s="51"/>
      <c r="H66" s="51"/>
      <c r="I66" s="51"/>
      <c r="J66" s="51"/>
      <c r="K66" s="52"/>
      <c r="L66" s="52"/>
    </row>
    <row r="67" spans="1:12" ht="15" customHeight="1" x14ac:dyDescent="0.25">
      <c r="A67" s="49" t="s">
        <v>134</v>
      </c>
      <c r="B67" s="50" t="s">
        <v>138</v>
      </c>
      <c r="C67" s="51" t="s">
        <v>141</v>
      </c>
      <c r="D67" s="51"/>
      <c r="E67" s="43" t="s">
        <v>341</v>
      </c>
      <c r="F67" s="51"/>
      <c r="G67" s="51"/>
      <c r="H67" s="51"/>
      <c r="I67" s="51"/>
      <c r="J67" s="51"/>
      <c r="K67" s="52"/>
      <c r="L67" s="52"/>
    </row>
    <row r="68" spans="1:12" ht="15" customHeight="1" x14ac:dyDescent="0.25">
      <c r="A68" s="49" t="s">
        <v>134</v>
      </c>
      <c r="B68" s="50" t="s">
        <v>142</v>
      </c>
      <c r="C68" s="51" t="s">
        <v>394</v>
      </c>
      <c r="D68" s="51"/>
      <c r="E68" s="43" t="s">
        <v>263</v>
      </c>
      <c r="F68" s="51"/>
      <c r="G68" s="51"/>
      <c r="H68" s="51"/>
      <c r="I68" s="51"/>
      <c r="J68" s="51"/>
      <c r="K68" s="52"/>
      <c r="L68" s="52"/>
    </row>
    <row r="69" spans="1:12" ht="15" customHeight="1" x14ac:dyDescent="0.25">
      <c r="A69" s="49" t="s">
        <v>134</v>
      </c>
      <c r="B69" s="50" t="s">
        <v>144</v>
      </c>
      <c r="C69" s="51" t="s">
        <v>145</v>
      </c>
      <c r="D69" s="51"/>
      <c r="E69" s="43" t="s">
        <v>263</v>
      </c>
      <c r="F69" s="51"/>
      <c r="G69" s="51"/>
      <c r="H69" s="51"/>
      <c r="I69" s="51"/>
      <c r="J69" s="51"/>
      <c r="K69" s="52"/>
      <c r="L69" s="52"/>
    </row>
    <row r="70" spans="1:12" ht="15" customHeight="1" x14ac:dyDescent="0.25">
      <c r="A70" s="49" t="s">
        <v>134</v>
      </c>
      <c r="B70" s="58" t="s">
        <v>146</v>
      </c>
      <c r="C70" s="51" t="s">
        <v>147</v>
      </c>
      <c r="D70" s="51" t="s">
        <v>137</v>
      </c>
      <c r="E70" s="43" t="s">
        <v>399</v>
      </c>
      <c r="F70" s="51"/>
      <c r="G70" s="51"/>
      <c r="H70" s="51"/>
      <c r="I70" s="51"/>
      <c r="J70" s="51"/>
      <c r="K70" s="52"/>
      <c r="L70" s="52"/>
    </row>
    <row r="71" spans="1:12" ht="15" customHeight="1" x14ac:dyDescent="0.25">
      <c r="A71" s="49" t="s">
        <v>134</v>
      </c>
      <c r="B71" s="58" t="s">
        <v>146</v>
      </c>
      <c r="C71" s="51" t="s">
        <v>149</v>
      </c>
      <c r="D71" s="51" t="s">
        <v>137</v>
      </c>
      <c r="E71" s="43" t="s">
        <v>399</v>
      </c>
      <c r="F71" s="51"/>
      <c r="G71" s="51"/>
      <c r="H71" s="51"/>
      <c r="I71" s="51"/>
      <c r="J71" s="51"/>
      <c r="K71" s="52"/>
      <c r="L71" s="52"/>
    </row>
    <row r="72" spans="1:12" ht="15" customHeight="1" x14ac:dyDescent="0.25">
      <c r="A72" s="49" t="s">
        <v>134</v>
      </c>
      <c r="B72" s="58" t="s">
        <v>146</v>
      </c>
      <c r="C72" s="51" t="s">
        <v>150</v>
      </c>
      <c r="D72" s="51" t="s">
        <v>137</v>
      </c>
      <c r="E72" s="43" t="s">
        <v>399</v>
      </c>
      <c r="F72" s="51"/>
      <c r="G72" s="51"/>
      <c r="H72" s="51"/>
      <c r="I72" s="51"/>
      <c r="J72" s="51"/>
      <c r="K72" s="52"/>
      <c r="L72" s="52"/>
    </row>
    <row r="73" spans="1:12" ht="15" customHeight="1" x14ac:dyDescent="0.25">
      <c r="A73" s="49" t="s">
        <v>134</v>
      </c>
      <c r="B73" s="58" t="s">
        <v>146</v>
      </c>
      <c r="C73" s="51" t="s">
        <v>151</v>
      </c>
      <c r="D73" s="51" t="s">
        <v>137</v>
      </c>
      <c r="E73" s="43" t="s">
        <v>292</v>
      </c>
      <c r="F73" s="51"/>
      <c r="G73" s="51"/>
      <c r="H73" s="51"/>
      <c r="I73" s="51"/>
      <c r="J73" s="51"/>
      <c r="K73" s="52"/>
      <c r="L73" s="52"/>
    </row>
    <row r="74" spans="1:12" ht="15" customHeight="1" x14ac:dyDescent="0.25">
      <c r="A74" s="49" t="s">
        <v>134</v>
      </c>
      <c r="B74" s="58" t="s">
        <v>146</v>
      </c>
      <c r="C74" s="51" t="s">
        <v>152</v>
      </c>
      <c r="D74" s="51"/>
      <c r="E74" s="43" t="s">
        <v>399</v>
      </c>
      <c r="F74" s="51"/>
      <c r="G74" s="51"/>
      <c r="H74" s="51"/>
      <c r="I74" s="51"/>
      <c r="J74" s="51"/>
      <c r="K74" s="52"/>
      <c r="L74" s="52"/>
    </row>
    <row r="75" spans="1:12" ht="15" customHeight="1" x14ac:dyDescent="0.25">
      <c r="A75" s="49" t="s">
        <v>134</v>
      </c>
      <c r="B75" s="50" t="s">
        <v>153</v>
      </c>
      <c r="C75" s="51" t="s">
        <v>154</v>
      </c>
      <c r="D75" s="51"/>
      <c r="E75" s="43" t="s">
        <v>292</v>
      </c>
      <c r="F75" s="51"/>
      <c r="G75" s="51"/>
      <c r="H75" s="51"/>
      <c r="I75" s="51"/>
      <c r="J75" s="51"/>
      <c r="K75" s="52"/>
      <c r="L75" s="52"/>
    </row>
    <row r="76" spans="1:12" ht="15" customHeight="1" x14ac:dyDescent="0.25">
      <c r="A76" s="49" t="s">
        <v>134</v>
      </c>
      <c r="B76" s="50" t="s">
        <v>155</v>
      </c>
      <c r="C76" s="51" t="s">
        <v>156</v>
      </c>
      <c r="D76" s="51"/>
      <c r="E76" s="43" t="s">
        <v>399</v>
      </c>
      <c r="F76" s="51"/>
      <c r="G76" s="51"/>
      <c r="H76" s="51"/>
      <c r="I76" s="51"/>
      <c r="J76" s="51"/>
      <c r="K76" s="52"/>
      <c r="L76" s="52"/>
    </row>
    <row r="77" spans="1:12" ht="15" customHeight="1" x14ac:dyDescent="0.25">
      <c r="A77" s="49" t="s">
        <v>134</v>
      </c>
      <c r="B77" s="50" t="s">
        <v>155</v>
      </c>
      <c r="C77" s="51" t="s">
        <v>414</v>
      </c>
      <c r="D77" s="51"/>
      <c r="E77" s="43" t="s">
        <v>227</v>
      </c>
      <c r="F77" s="51"/>
      <c r="G77" s="51"/>
      <c r="H77" s="51"/>
      <c r="I77" s="51"/>
      <c r="J77" s="51"/>
      <c r="K77" s="52"/>
      <c r="L77" s="52"/>
    </row>
    <row r="78" spans="1:12" ht="15" customHeight="1" x14ac:dyDescent="0.25">
      <c r="A78" s="49" t="s">
        <v>158</v>
      </c>
      <c r="B78" s="50" t="s">
        <v>159</v>
      </c>
      <c r="C78" s="51" t="s">
        <v>160</v>
      </c>
      <c r="D78" s="51" t="s">
        <v>137</v>
      </c>
      <c r="E78" s="43" t="s">
        <v>302</v>
      </c>
      <c r="F78" s="51"/>
      <c r="G78" s="51"/>
      <c r="H78" s="51"/>
      <c r="I78" s="51"/>
      <c r="J78" s="51"/>
      <c r="K78" s="52"/>
      <c r="L78" s="52"/>
    </row>
    <row r="79" spans="1:12" ht="15" customHeight="1" x14ac:dyDescent="0.25">
      <c r="A79" s="49" t="s">
        <v>158</v>
      </c>
      <c r="B79" s="50" t="s">
        <v>159</v>
      </c>
      <c r="C79" s="51" t="s">
        <v>161</v>
      </c>
      <c r="D79" s="51" t="s">
        <v>137</v>
      </c>
      <c r="E79" s="43" t="s">
        <v>302</v>
      </c>
      <c r="F79" s="51"/>
      <c r="G79" s="51"/>
      <c r="H79" s="51"/>
      <c r="I79" s="51"/>
      <c r="J79" s="51"/>
      <c r="K79" s="52"/>
      <c r="L79" s="52"/>
    </row>
    <row r="80" spans="1:12" ht="15" customHeight="1" x14ac:dyDescent="0.25">
      <c r="A80" s="49" t="s">
        <v>158</v>
      </c>
      <c r="B80" s="50" t="s">
        <v>421</v>
      </c>
      <c r="C80" s="51" t="s">
        <v>163</v>
      </c>
      <c r="D80" s="51" t="s">
        <v>137</v>
      </c>
      <c r="E80" s="43" t="s">
        <v>422</v>
      </c>
      <c r="F80" s="51"/>
      <c r="G80" s="51"/>
      <c r="H80" s="51"/>
      <c r="I80" s="51"/>
      <c r="J80" s="51"/>
      <c r="K80" s="52"/>
      <c r="L80" s="52"/>
    </row>
    <row r="81" spans="1:12" ht="15" customHeight="1" x14ac:dyDescent="0.25">
      <c r="A81" s="49" t="s">
        <v>158</v>
      </c>
      <c r="B81" s="50" t="s">
        <v>164</v>
      </c>
      <c r="C81" s="51" t="s">
        <v>165</v>
      </c>
      <c r="D81" s="51" t="s">
        <v>137</v>
      </c>
      <c r="E81" s="43" t="s">
        <v>425</v>
      </c>
      <c r="F81" s="51"/>
      <c r="G81" s="51"/>
      <c r="H81" s="51"/>
      <c r="I81" s="51"/>
      <c r="J81" s="51"/>
      <c r="K81" s="52"/>
      <c r="L81" s="52"/>
    </row>
    <row r="82" spans="1:12" ht="15" customHeight="1" x14ac:dyDescent="0.25">
      <c r="A82" s="49" t="s">
        <v>158</v>
      </c>
      <c r="B82" s="50" t="s">
        <v>166</v>
      </c>
      <c r="C82" s="51" t="s">
        <v>167</v>
      </c>
      <c r="D82" s="51" t="s">
        <v>137</v>
      </c>
      <c r="E82" s="43" t="s">
        <v>282</v>
      </c>
      <c r="F82" s="51"/>
      <c r="G82" s="51"/>
      <c r="H82" s="51"/>
      <c r="I82" s="51"/>
      <c r="J82" s="51"/>
      <c r="K82" s="52"/>
      <c r="L82" s="52"/>
    </row>
    <row r="83" spans="1:12" ht="15" customHeight="1" x14ac:dyDescent="0.25">
      <c r="A83" s="49" t="s">
        <v>158</v>
      </c>
      <c r="B83" s="50" t="s">
        <v>166</v>
      </c>
      <c r="C83" s="51" t="s">
        <v>168</v>
      </c>
      <c r="D83" s="51"/>
      <c r="E83" s="43" t="s">
        <v>422</v>
      </c>
      <c r="F83" s="51"/>
      <c r="G83" s="51"/>
      <c r="H83" s="51"/>
      <c r="I83" s="51"/>
      <c r="J83" s="51"/>
      <c r="K83" s="52"/>
      <c r="L83" s="52"/>
    </row>
    <row r="84" spans="1:12" ht="15" customHeight="1" x14ac:dyDescent="0.25">
      <c r="A84" s="49" t="s">
        <v>158</v>
      </c>
      <c r="B84" s="50" t="s">
        <v>166</v>
      </c>
      <c r="C84" s="51" t="s">
        <v>169</v>
      </c>
      <c r="D84" s="51"/>
      <c r="E84" s="43" t="s">
        <v>422</v>
      </c>
      <c r="F84" s="51"/>
      <c r="G84" s="51"/>
      <c r="H84" s="51"/>
      <c r="I84" s="51"/>
      <c r="J84" s="51"/>
      <c r="K84" s="52"/>
      <c r="L84" s="52"/>
    </row>
    <row r="85" spans="1:12" ht="15" customHeight="1" x14ac:dyDescent="0.25">
      <c r="A85" s="49" t="s">
        <v>158</v>
      </c>
      <c r="B85" s="50" t="s">
        <v>159</v>
      </c>
      <c r="C85" s="51" t="s">
        <v>170</v>
      </c>
      <c r="D85" s="51"/>
      <c r="E85" s="43" t="s">
        <v>319</v>
      </c>
      <c r="F85" s="51"/>
      <c r="G85" s="51"/>
      <c r="H85" s="51"/>
      <c r="I85" s="51"/>
      <c r="J85" s="51"/>
      <c r="K85" s="52"/>
      <c r="L85" s="52"/>
    </row>
    <row r="86" spans="1:12" ht="15" customHeight="1" x14ac:dyDescent="0.25">
      <c r="A86" s="59" t="s">
        <v>158</v>
      </c>
      <c r="B86" s="60" t="s">
        <v>171</v>
      </c>
      <c r="C86" s="51" t="s">
        <v>172</v>
      </c>
      <c r="D86" s="51"/>
      <c r="E86" s="43" t="s">
        <v>295</v>
      </c>
      <c r="F86" s="51"/>
      <c r="G86" s="51"/>
      <c r="H86" s="51"/>
      <c r="I86" s="51"/>
      <c r="J86" s="51"/>
      <c r="K86" s="52"/>
      <c r="L86" s="52"/>
    </row>
    <row r="87" spans="1:12" ht="15" customHeight="1" x14ac:dyDescent="0.25">
      <c r="A87" s="61" t="s">
        <v>158</v>
      </c>
      <c r="B87" s="62" t="s">
        <v>173</v>
      </c>
      <c r="C87" s="51" t="s">
        <v>174</v>
      </c>
      <c r="D87" s="51"/>
      <c r="E87" s="43" t="s">
        <v>383</v>
      </c>
      <c r="F87" s="51"/>
      <c r="G87" s="51"/>
      <c r="H87" s="51"/>
      <c r="I87" s="51"/>
      <c r="J87" s="51"/>
      <c r="K87" s="52"/>
      <c r="L87" s="52"/>
    </row>
    <row r="88" spans="1:12" ht="15" customHeight="1" x14ac:dyDescent="0.25">
      <c r="A88" s="49" t="s">
        <v>158</v>
      </c>
      <c r="B88" s="50" t="s">
        <v>173</v>
      </c>
      <c r="C88" s="51" t="s">
        <v>175</v>
      </c>
      <c r="D88" s="51"/>
      <c r="E88" s="43" t="s">
        <v>302</v>
      </c>
      <c r="F88" s="51"/>
      <c r="G88" s="51"/>
      <c r="H88" s="51"/>
      <c r="I88" s="51"/>
      <c r="J88" s="51"/>
      <c r="K88" s="52"/>
      <c r="L88" s="52"/>
    </row>
    <row r="89" spans="1:12" ht="15" customHeight="1" x14ac:dyDescent="0.25">
      <c r="A89" s="49" t="s">
        <v>158</v>
      </c>
      <c r="B89" s="50" t="s">
        <v>173</v>
      </c>
      <c r="C89" s="51" t="s">
        <v>176</v>
      </c>
      <c r="D89" s="51"/>
      <c r="E89" s="43" t="s">
        <v>282</v>
      </c>
      <c r="F89" s="51"/>
      <c r="G89" s="51"/>
      <c r="H89" s="51"/>
      <c r="I89" s="51"/>
      <c r="J89" s="51"/>
      <c r="K89" s="52"/>
      <c r="L89" s="52"/>
    </row>
    <row r="90" spans="1:12" ht="15" customHeight="1" x14ac:dyDescent="0.25">
      <c r="A90" s="61" t="s">
        <v>177</v>
      </c>
      <c r="B90" s="62" t="s">
        <v>178</v>
      </c>
      <c r="C90" s="51" t="s">
        <v>179</v>
      </c>
      <c r="D90" s="51" t="s">
        <v>35</v>
      </c>
      <c r="E90" s="43" t="s">
        <v>444</v>
      </c>
      <c r="F90" s="51"/>
      <c r="G90" s="51"/>
      <c r="H90" s="51"/>
      <c r="I90" s="51"/>
      <c r="J90" s="51"/>
      <c r="K90" s="52"/>
      <c r="L90" s="52"/>
    </row>
    <row r="91" spans="1:12" ht="15" customHeight="1" x14ac:dyDescent="0.25">
      <c r="A91" s="49" t="s">
        <v>177</v>
      </c>
      <c r="B91" s="50" t="s">
        <v>178</v>
      </c>
      <c r="C91" s="51" t="s">
        <v>180</v>
      </c>
      <c r="D91" s="51" t="s">
        <v>35</v>
      </c>
      <c r="E91" s="43" t="s">
        <v>281</v>
      </c>
      <c r="F91" s="51"/>
      <c r="G91" s="51"/>
      <c r="H91" s="51"/>
      <c r="I91" s="51"/>
      <c r="J91" s="51"/>
      <c r="K91" s="52"/>
      <c r="L91" s="52"/>
    </row>
    <row r="92" spans="1:12" ht="15" customHeight="1" x14ac:dyDescent="0.25">
      <c r="A92" s="49" t="s">
        <v>177</v>
      </c>
      <c r="B92" s="50" t="s">
        <v>178</v>
      </c>
      <c r="C92" s="51" t="s">
        <v>181</v>
      </c>
      <c r="D92" s="51" t="s">
        <v>35</v>
      </c>
      <c r="E92" s="43" t="s">
        <v>444</v>
      </c>
      <c r="F92" s="51"/>
      <c r="G92" s="51"/>
      <c r="H92" s="51"/>
      <c r="I92" s="51"/>
      <c r="J92" s="51"/>
      <c r="K92" s="52"/>
      <c r="L92" s="52"/>
    </row>
    <row r="93" spans="1:12" ht="15" customHeight="1" x14ac:dyDescent="0.25">
      <c r="A93" s="49" t="s">
        <v>177</v>
      </c>
      <c r="B93" s="50" t="s">
        <v>182</v>
      </c>
      <c r="C93" s="51" t="s">
        <v>183</v>
      </c>
      <c r="D93" s="51" t="s">
        <v>35</v>
      </c>
      <c r="E93" s="43" t="s">
        <v>444</v>
      </c>
      <c r="F93" s="51"/>
      <c r="G93" s="51"/>
      <c r="H93" s="51"/>
      <c r="I93" s="51"/>
      <c r="J93" s="51"/>
      <c r="K93" s="52"/>
      <c r="L93" s="52"/>
    </row>
    <row r="94" spans="1:12" ht="15" customHeight="1" x14ac:dyDescent="0.25">
      <c r="A94" s="49" t="s">
        <v>177</v>
      </c>
      <c r="B94" s="50" t="s">
        <v>182</v>
      </c>
      <c r="C94" s="51" t="s">
        <v>184</v>
      </c>
      <c r="D94" s="51" t="s">
        <v>35</v>
      </c>
      <c r="E94" s="43" t="s">
        <v>444</v>
      </c>
      <c r="F94" s="51"/>
      <c r="G94" s="51"/>
      <c r="H94" s="51"/>
      <c r="I94" s="51"/>
      <c r="J94" s="51"/>
      <c r="K94" s="52"/>
      <c r="L94" s="52"/>
    </row>
    <row r="95" spans="1:12" ht="15" customHeight="1" x14ac:dyDescent="0.25">
      <c r="A95" s="49" t="s">
        <v>177</v>
      </c>
      <c r="B95" s="50" t="s">
        <v>185</v>
      </c>
      <c r="C95" s="51" t="s">
        <v>186</v>
      </c>
      <c r="D95" s="51" t="s">
        <v>35</v>
      </c>
      <c r="E95" s="43" t="s">
        <v>329</v>
      </c>
      <c r="F95" s="51"/>
      <c r="G95" s="51"/>
      <c r="H95" s="51"/>
      <c r="I95" s="51"/>
      <c r="J95" s="51"/>
      <c r="K95" s="52"/>
      <c r="L95" s="52"/>
    </row>
    <row r="96" spans="1:12" ht="15" customHeight="1" x14ac:dyDescent="0.25">
      <c r="A96" s="49" t="s">
        <v>177</v>
      </c>
      <c r="B96" s="50" t="s">
        <v>185</v>
      </c>
      <c r="C96" s="51" t="s">
        <v>187</v>
      </c>
      <c r="D96" s="51" t="s">
        <v>35</v>
      </c>
      <c r="E96" s="43" t="s">
        <v>444</v>
      </c>
      <c r="F96" s="51"/>
      <c r="G96" s="51"/>
      <c r="H96" s="51"/>
      <c r="I96" s="51"/>
      <c r="J96" s="51"/>
      <c r="K96" s="52"/>
      <c r="L96" s="52"/>
    </row>
    <row r="97" spans="1:12" ht="15" customHeight="1" x14ac:dyDescent="0.25">
      <c r="A97" s="49" t="s">
        <v>177</v>
      </c>
      <c r="B97" s="50" t="s">
        <v>188</v>
      </c>
      <c r="C97" s="51" t="s">
        <v>189</v>
      </c>
      <c r="D97" s="51" t="s">
        <v>35</v>
      </c>
      <c r="E97" s="43" t="s">
        <v>383</v>
      </c>
      <c r="F97" s="51"/>
      <c r="G97" s="51"/>
      <c r="H97" s="51"/>
      <c r="I97" s="51"/>
      <c r="J97" s="51"/>
      <c r="K97" s="52"/>
      <c r="L97" s="52"/>
    </row>
    <row r="98" spans="1:12" ht="15" customHeight="1" x14ac:dyDescent="0.25">
      <c r="A98" s="49" t="s">
        <v>177</v>
      </c>
      <c r="B98" s="50" t="s">
        <v>188</v>
      </c>
      <c r="C98" s="51" t="s">
        <v>190</v>
      </c>
      <c r="D98" s="51" t="s">
        <v>35</v>
      </c>
      <c r="E98" s="43" t="s">
        <v>383</v>
      </c>
      <c r="F98" s="51"/>
      <c r="G98" s="51"/>
      <c r="H98" s="51"/>
      <c r="I98" s="51"/>
      <c r="J98" s="51"/>
      <c r="K98" s="52"/>
      <c r="L98" s="52"/>
    </row>
    <row r="99" spans="1:12" ht="15" customHeight="1" x14ac:dyDescent="0.25">
      <c r="A99" s="49" t="s">
        <v>177</v>
      </c>
      <c r="B99" s="50" t="s">
        <v>191</v>
      </c>
      <c r="C99" s="51" t="s">
        <v>463</v>
      </c>
      <c r="D99" s="51" t="s">
        <v>35</v>
      </c>
      <c r="E99" s="43" t="s">
        <v>465</v>
      </c>
      <c r="F99" s="51"/>
      <c r="G99" s="51"/>
      <c r="H99" s="51"/>
      <c r="I99" s="51"/>
      <c r="J99" s="51"/>
      <c r="K99" s="52"/>
      <c r="L99" s="52"/>
    </row>
    <row r="100" spans="1:12" ht="15" customHeight="1" x14ac:dyDescent="0.25">
      <c r="A100" s="49" t="s">
        <v>193</v>
      </c>
      <c r="B100" s="50" t="s">
        <v>194</v>
      </c>
      <c r="C100" s="51" t="s">
        <v>195</v>
      </c>
      <c r="D100" s="51"/>
      <c r="E100" s="43" t="s">
        <v>225</v>
      </c>
      <c r="F100" s="51"/>
      <c r="G100" s="51"/>
      <c r="H100" s="51"/>
      <c r="I100" s="51"/>
      <c r="J100" s="51"/>
    </row>
    <row r="101" spans="1:12" ht="15" customHeight="1" x14ac:dyDescent="0.25">
      <c r="A101" s="49" t="s">
        <v>193</v>
      </c>
      <c r="B101" s="50" t="s">
        <v>196</v>
      </c>
      <c r="C101" s="51" t="s">
        <v>197</v>
      </c>
      <c r="D101" s="51"/>
      <c r="E101" s="43" t="s">
        <v>219</v>
      </c>
      <c r="F101" s="51"/>
      <c r="G101" s="51"/>
      <c r="H101" s="51"/>
      <c r="I101" s="51"/>
      <c r="J101" s="51"/>
    </row>
    <row r="102" spans="1:12" ht="15" customHeight="1" x14ac:dyDescent="0.25">
      <c r="A102" s="49" t="s">
        <v>193</v>
      </c>
      <c r="B102" s="50" t="s">
        <v>198</v>
      </c>
      <c r="C102" s="51" t="s">
        <v>473</v>
      </c>
      <c r="D102" s="51"/>
      <c r="E102" s="43" t="s">
        <v>215</v>
      </c>
      <c r="F102" s="51"/>
      <c r="G102" s="51"/>
      <c r="H102" s="51"/>
      <c r="I102" s="51"/>
      <c r="J102" s="51"/>
    </row>
    <row r="103" spans="1:12" ht="15" customHeight="1" x14ac:dyDescent="0.25">
      <c r="A103" s="49" t="s">
        <v>193</v>
      </c>
      <c r="B103" s="50" t="s">
        <v>200</v>
      </c>
      <c r="C103" s="51" t="s">
        <v>201</v>
      </c>
      <c r="D103" s="51"/>
      <c r="E103" s="43" t="s">
        <v>263</v>
      </c>
      <c r="F103" s="51"/>
      <c r="G103" s="51"/>
      <c r="H103" s="51"/>
      <c r="I103" s="51"/>
      <c r="J103" s="51"/>
    </row>
    <row r="104" spans="1:12" ht="15" customHeight="1" x14ac:dyDescent="0.25">
      <c r="A104" s="49" t="s">
        <v>193</v>
      </c>
      <c r="B104" s="50" t="s">
        <v>202</v>
      </c>
      <c r="C104" s="51" t="s">
        <v>203</v>
      </c>
      <c r="D104" s="51"/>
      <c r="E104" s="43" t="s">
        <v>227</v>
      </c>
      <c r="F104" s="51"/>
      <c r="G104" s="51"/>
      <c r="H104" s="51"/>
      <c r="I104" s="51"/>
      <c r="J104" s="51"/>
    </row>
    <row r="105" spans="1:12" ht="15" customHeight="1" x14ac:dyDescent="0.25">
      <c r="A105" s="49" t="s">
        <v>193</v>
      </c>
      <c r="B105" s="50" t="s">
        <v>202</v>
      </c>
      <c r="C105" s="51" t="s">
        <v>480</v>
      </c>
      <c r="D105" s="51"/>
      <c r="E105" s="43" t="s">
        <v>215</v>
      </c>
      <c r="F105" s="51"/>
      <c r="G105" s="51"/>
      <c r="H105" s="51"/>
      <c r="I105" s="51"/>
      <c r="J105" s="51"/>
    </row>
  </sheetData>
  <autoFilter ref="A1:J105" xr:uid="{00000000-0009-0000-0000-000003000000}">
    <sortState xmlns:xlrd2="http://schemas.microsoft.com/office/spreadsheetml/2017/richdata2" ref="A2:J105">
      <sortCondition ref="A2:A105"/>
    </sortState>
  </autoFilter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4"/>
  <sheetViews>
    <sheetView zoomScale="115" zoomScaleNormal="115" workbookViewId="0">
      <selection activeCell="E20" sqref="B20:E21"/>
    </sheetView>
  </sheetViews>
  <sheetFormatPr defaultColWidth="15.5546875" defaultRowHeight="13.8" x14ac:dyDescent="0.25"/>
  <cols>
    <col min="1" max="1" width="39.44140625" style="35" customWidth="1"/>
    <col min="2" max="2" width="59.109375" style="35" customWidth="1"/>
    <col min="3" max="3" width="15.5546875" style="35"/>
    <col min="4" max="4" width="24" style="35" customWidth="1"/>
    <col min="5" max="5" width="27.44140625" style="35" customWidth="1"/>
    <col min="6" max="7" width="15.5546875" style="35"/>
    <col min="8" max="8" width="12.88671875" style="35" customWidth="1"/>
    <col min="9" max="16384" width="15.5546875" style="35"/>
  </cols>
  <sheetData>
    <row r="1" spans="1:5" ht="33.75" customHeight="1" x14ac:dyDescent="0.25">
      <c r="A1" s="36" t="s">
        <v>485</v>
      </c>
      <c r="B1" s="36" t="s">
        <v>486</v>
      </c>
      <c r="C1" s="36" t="s">
        <v>487</v>
      </c>
      <c r="D1" s="22" t="s">
        <v>488</v>
      </c>
      <c r="E1" s="22" t="s">
        <v>489</v>
      </c>
    </row>
    <row r="2" spans="1:5" x14ac:dyDescent="0.25">
      <c r="A2" s="37" t="s">
        <v>218</v>
      </c>
      <c r="B2" s="38" t="s">
        <v>236</v>
      </c>
      <c r="C2" s="39" t="s">
        <v>226</v>
      </c>
      <c r="D2" s="40">
        <f>COUNTIF('De-para Risk tracking'!$G$2:$G$105,$B2)</f>
        <v>3</v>
      </c>
      <c r="E2" s="40">
        <f>COUNTIF('De-para Risk tracking'!$I$2:$I$105,$B2)</f>
        <v>3</v>
      </c>
    </row>
    <row r="3" spans="1:5" x14ac:dyDescent="0.25">
      <c r="A3" s="37" t="s">
        <v>218</v>
      </c>
      <c r="B3" s="38" t="s">
        <v>239</v>
      </c>
      <c r="C3" s="39" t="s">
        <v>226</v>
      </c>
      <c r="D3" s="40">
        <f>COUNTIF('De-para Risk tracking'!$G$2:$G$105,$B3)</f>
        <v>3</v>
      </c>
      <c r="E3" s="40">
        <f>COUNTIF('De-para Risk tracking'!$I$2:$I$105,$B3)</f>
        <v>3</v>
      </c>
    </row>
    <row r="4" spans="1:5" x14ac:dyDescent="0.25">
      <c r="A4" s="37" t="s">
        <v>218</v>
      </c>
      <c r="B4" s="38" t="s">
        <v>219</v>
      </c>
      <c r="C4" s="39" t="s">
        <v>220</v>
      </c>
      <c r="D4" s="40">
        <f>COUNTIF('De-para Risk tracking'!$G$2:$G$105,$B4)</f>
        <v>6</v>
      </c>
      <c r="E4" s="40">
        <f>COUNTIF('De-para Risk tracking'!$I$2:$I$105,$B4)</f>
        <v>4</v>
      </c>
    </row>
    <row r="5" spans="1:5" x14ac:dyDescent="0.25">
      <c r="A5" s="37" t="s">
        <v>218</v>
      </c>
      <c r="B5" s="38" t="s">
        <v>354</v>
      </c>
      <c r="C5" s="39" t="s">
        <v>220</v>
      </c>
      <c r="D5" s="40">
        <f>COUNTIF('De-para Risk tracking'!$G$2:$G$105,$B5)</f>
        <v>4</v>
      </c>
      <c r="E5" s="40">
        <f>COUNTIF('De-para Risk tracking'!$I$2:$I$105,$B5)</f>
        <v>3</v>
      </c>
    </row>
    <row r="6" spans="1:5" x14ac:dyDescent="0.25">
      <c r="A6" s="37" t="s">
        <v>218</v>
      </c>
      <c r="B6" s="38" t="s">
        <v>225</v>
      </c>
      <c r="C6" s="39" t="s">
        <v>226</v>
      </c>
      <c r="D6" s="40">
        <f>COUNTIF('De-para Risk tracking'!$G$2:$G$105,$B6)</f>
        <v>9</v>
      </c>
      <c r="E6" s="40">
        <f>COUNTIF('De-para Risk tracking'!$I$2:$I$105,$B6)</f>
        <v>5</v>
      </c>
    </row>
    <row r="7" spans="1:5" x14ac:dyDescent="0.25">
      <c r="A7" s="37" t="s">
        <v>218</v>
      </c>
      <c r="B7" s="38" t="s">
        <v>245</v>
      </c>
      <c r="C7" s="39" t="s">
        <v>220</v>
      </c>
      <c r="D7" s="40">
        <f>COUNTIF('De-para Risk tracking'!$G$2:$G$105,$B7)</f>
        <v>3</v>
      </c>
      <c r="E7" s="40">
        <f>COUNTIF('De-para Risk tracking'!$I$2:$I$105,$B7)</f>
        <v>3</v>
      </c>
    </row>
    <row r="8" spans="1:5" x14ac:dyDescent="0.25">
      <c r="A8" s="37" t="s">
        <v>218</v>
      </c>
      <c r="B8" s="38" t="s">
        <v>399</v>
      </c>
      <c r="C8" s="39" t="s">
        <v>226</v>
      </c>
      <c r="D8" s="40">
        <f>COUNTIF('De-para Risk tracking'!$G$2:$G$105,$B8)</f>
        <v>5</v>
      </c>
      <c r="E8" s="40">
        <f>COUNTIF('De-para Risk tracking'!$I$2:$I$105,$B8)</f>
        <v>2</v>
      </c>
    </row>
    <row r="9" spans="1:5" x14ac:dyDescent="0.25">
      <c r="A9" s="37" t="s">
        <v>314</v>
      </c>
      <c r="B9" s="38" t="s">
        <v>227</v>
      </c>
      <c r="C9" s="39" t="s">
        <v>226</v>
      </c>
      <c r="D9" s="40">
        <f>COUNTIF('De-para Risk tracking'!$G$2:$G$105,$B9)</f>
        <v>5</v>
      </c>
      <c r="E9" s="40">
        <f>COUNTIF('De-para Risk tracking'!$I$2:$I$105,$B9)</f>
        <v>5</v>
      </c>
    </row>
    <row r="10" spans="1:5" x14ac:dyDescent="0.25">
      <c r="A10" s="37" t="s">
        <v>314</v>
      </c>
      <c r="B10" s="38" t="s">
        <v>444</v>
      </c>
      <c r="C10" s="39" t="s">
        <v>220</v>
      </c>
      <c r="D10" s="40">
        <f>COUNTIF('De-para Risk tracking'!$G$2:$G$105,$B10)</f>
        <v>5</v>
      </c>
      <c r="E10" s="40">
        <f>COUNTIF('De-para Risk tracking'!$I$2:$I$105,$B10)</f>
        <v>3</v>
      </c>
    </row>
    <row r="11" spans="1:5" x14ac:dyDescent="0.25">
      <c r="A11" s="37" t="s">
        <v>314</v>
      </c>
      <c r="B11" s="38" t="s">
        <v>319</v>
      </c>
      <c r="C11" s="39" t="s">
        <v>220</v>
      </c>
      <c r="D11" s="40">
        <f>COUNTIF('De-para Risk tracking'!$G$2:$G$105,$B11)</f>
        <v>1</v>
      </c>
      <c r="E11" s="40">
        <f>COUNTIF('De-para Risk tracking'!$I$2:$I$105,$B11)</f>
        <v>1</v>
      </c>
    </row>
    <row r="12" spans="1:5" x14ac:dyDescent="0.25">
      <c r="A12" s="37" t="s">
        <v>276</v>
      </c>
      <c r="B12" s="38" t="s">
        <v>425</v>
      </c>
      <c r="C12" s="39" t="s">
        <v>226</v>
      </c>
      <c r="D12" s="40">
        <f>COUNTIF('De-para Risk tracking'!$G$2:$G$105,$B12)</f>
        <v>1</v>
      </c>
      <c r="E12" s="40">
        <f>COUNTIF('De-para Risk tracking'!$I$2:$I$105,$B12)</f>
        <v>0</v>
      </c>
    </row>
    <row r="13" spans="1:5" x14ac:dyDescent="0.25">
      <c r="A13" s="37" t="s">
        <v>276</v>
      </c>
      <c r="B13" s="38" t="s">
        <v>295</v>
      </c>
      <c r="C13" s="39" t="s">
        <v>220</v>
      </c>
      <c r="D13" s="40">
        <f>COUNTIF('De-para Risk tracking'!$G$2:$G$105,$B13)</f>
        <v>1</v>
      </c>
      <c r="E13" s="40">
        <f>COUNTIF('De-para Risk tracking'!$I$2:$I$105,$B13)</f>
        <v>2</v>
      </c>
    </row>
    <row r="14" spans="1:5" x14ac:dyDescent="0.25">
      <c r="A14" s="37" t="s">
        <v>276</v>
      </c>
      <c r="B14" s="38" t="s">
        <v>292</v>
      </c>
      <c r="C14" s="39" t="s">
        <v>220</v>
      </c>
      <c r="D14" s="40">
        <f>COUNTIF('De-para Risk tracking'!$G$2:$G$105,$B14)</f>
        <v>3</v>
      </c>
      <c r="E14" s="40">
        <f>COUNTIF('De-para Risk tracking'!$I$2:$I$105,$B14)</f>
        <v>4</v>
      </c>
    </row>
    <row r="15" spans="1:5" x14ac:dyDescent="0.25">
      <c r="A15" s="37" t="s">
        <v>276</v>
      </c>
      <c r="B15" s="38" t="s">
        <v>302</v>
      </c>
      <c r="C15" s="39" t="s">
        <v>220</v>
      </c>
      <c r="D15" s="40">
        <f>COUNTIF('De-para Risk tracking'!$G$2:$G$105,$B15)</f>
        <v>5</v>
      </c>
      <c r="E15" s="40">
        <f>COUNTIF('De-para Risk tracking'!$I$2:$I$105,$B15)</f>
        <v>5</v>
      </c>
    </row>
    <row r="16" spans="1:5" x14ac:dyDescent="0.25">
      <c r="A16" s="37" t="s">
        <v>276</v>
      </c>
      <c r="B16" s="38" t="s">
        <v>281</v>
      </c>
      <c r="C16" s="39" t="s">
        <v>220</v>
      </c>
      <c r="D16" s="40">
        <f>COUNTIF('De-para Risk tracking'!$G$2:$G$105,$B16)</f>
        <v>4</v>
      </c>
      <c r="E16" s="40">
        <f>COUNTIF('De-para Risk tracking'!$I$2:$I$105,$B16)</f>
        <v>4</v>
      </c>
    </row>
    <row r="17" spans="1:5" x14ac:dyDescent="0.25">
      <c r="A17" s="37" t="s">
        <v>276</v>
      </c>
      <c r="B17" s="38" t="s">
        <v>277</v>
      </c>
      <c r="C17" s="39" t="s">
        <v>278</v>
      </c>
      <c r="D17" s="40">
        <f>COUNTIF('De-para Risk tracking'!$G$2:$G$105,$B17)</f>
        <v>6</v>
      </c>
      <c r="E17" s="40">
        <f>COUNTIF('De-para Risk tracking'!$I$2:$I$105,$B17)</f>
        <v>5</v>
      </c>
    </row>
    <row r="18" spans="1:5" x14ac:dyDescent="0.25">
      <c r="A18" s="37" t="s">
        <v>276</v>
      </c>
      <c r="B18" s="38" t="s">
        <v>378</v>
      </c>
      <c r="C18" s="39" t="s">
        <v>220</v>
      </c>
      <c r="D18" s="40">
        <f>COUNTIF('De-para Risk tracking'!$G$2:$G$105,$B18)</f>
        <v>2</v>
      </c>
      <c r="E18" s="40">
        <f>COUNTIF('De-para Risk tracking'!$I$2:$I$105,$B18)</f>
        <v>2</v>
      </c>
    </row>
    <row r="19" spans="1:5" x14ac:dyDescent="0.25">
      <c r="A19" s="37" t="s">
        <v>464</v>
      </c>
      <c r="B19" s="38" t="s">
        <v>465</v>
      </c>
      <c r="C19" s="39" t="s">
        <v>278</v>
      </c>
      <c r="D19" s="40">
        <f>COUNTIF('De-para Risk tracking'!$G$2:$G$105,$B19)</f>
        <v>1</v>
      </c>
      <c r="E19" s="40">
        <f>COUNTIF('De-para Risk tracking'!$I$2:$I$105,$B19)</f>
        <v>0</v>
      </c>
    </row>
    <row r="20" spans="1:5" x14ac:dyDescent="0.25">
      <c r="A20" s="37" t="s">
        <v>464</v>
      </c>
      <c r="B20" s="38" t="s">
        <v>490</v>
      </c>
      <c r="C20" s="39" t="s">
        <v>220</v>
      </c>
      <c r="D20" s="40">
        <f>COUNTIF('De-para Risk tracking'!$G$2:$G$105,$B20)</f>
        <v>0</v>
      </c>
      <c r="E20" s="40">
        <f>COUNTIF('De-para Risk tracking'!$I$2:$I$105,$B20)</f>
        <v>0</v>
      </c>
    </row>
    <row r="21" spans="1:5" x14ac:dyDescent="0.25">
      <c r="A21" s="37" t="s">
        <v>464</v>
      </c>
      <c r="B21" s="38" t="s">
        <v>491</v>
      </c>
      <c r="C21" s="39" t="s">
        <v>226</v>
      </c>
      <c r="D21" s="40">
        <f>COUNTIF('De-para Risk tracking'!$G$2:$G$105,$B21)</f>
        <v>0</v>
      </c>
      <c r="E21" s="40">
        <f>COUNTIF('De-para Risk tracking'!$I$2:$I$105,$B21)</f>
        <v>0</v>
      </c>
    </row>
    <row r="22" spans="1:5" x14ac:dyDescent="0.25">
      <c r="A22" s="37" t="s">
        <v>311</v>
      </c>
      <c r="B22" s="38" t="s">
        <v>422</v>
      </c>
      <c r="C22" s="39" t="s">
        <v>278</v>
      </c>
      <c r="D22" s="40">
        <f>COUNTIF('De-para Risk tracking'!$G$2:$G$105,$B22)</f>
        <v>3</v>
      </c>
      <c r="E22" s="40">
        <f>COUNTIF('De-para Risk tracking'!$I$2:$I$105,$B22)</f>
        <v>1</v>
      </c>
    </row>
    <row r="23" spans="1:5" x14ac:dyDescent="0.25">
      <c r="A23" s="37" t="s">
        <v>311</v>
      </c>
      <c r="B23" s="38" t="s">
        <v>282</v>
      </c>
      <c r="C23" s="39" t="s">
        <v>220</v>
      </c>
      <c r="D23" s="40">
        <f>COUNTIF('De-para Risk tracking'!$G$2:$G$105,$B23)</f>
        <v>2</v>
      </c>
      <c r="E23" s="40">
        <f>COUNTIF('De-para Risk tracking'!$I$2:$I$105,$B23)</f>
        <v>7</v>
      </c>
    </row>
    <row r="24" spans="1:5" x14ac:dyDescent="0.25">
      <c r="A24" s="37" t="s">
        <v>311</v>
      </c>
      <c r="B24" s="38" t="s">
        <v>263</v>
      </c>
      <c r="C24" s="39" t="s">
        <v>220</v>
      </c>
      <c r="D24" s="40">
        <f>COUNTIF('De-para Risk tracking'!$G$2:$G$105,$B24)</f>
        <v>7</v>
      </c>
      <c r="E24" s="40">
        <f>COUNTIF('De-para Risk tracking'!$I$2:$I$105,$B24)</f>
        <v>11</v>
      </c>
    </row>
    <row r="25" spans="1:5" x14ac:dyDescent="0.25">
      <c r="A25" s="37" t="s">
        <v>328</v>
      </c>
      <c r="B25" s="38" t="s">
        <v>329</v>
      </c>
      <c r="C25" s="39" t="s">
        <v>220</v>
      </c>
      <c r="D25" s="40">
        <f>COUNTIF('De-para Risk tracking'!$G$2:$G$105,$B25)</f>
        <v>7</v>
      </c>
      <c r="E25" s="40">
        <f>COUNTIF('De-para Risk tracking'!$I$2:$I$105,$B25)</f>
        <v>3</v>
      </c>
    </row>
    <row r="26" spans="1:5" x14ac:dyDescent="0.25">
      <c r="A26" s="37" t="s">
        <v>328</v>
      </c>
      <c r="B26" s="38" t="s">
        <v>341</v>
      </c>
      <c r="C26" s="39" t="s">
        <v>226</v>
      </c>
      <c r="D26" s="40">
        <f>COUNTIF('De-para Risk tracking'!$G$2:$G$105,$B26)</f>
        <v>2</v>
      </c>
      <c r="E26" s="40">
        <f>COUNTIF('De-para Risk tracking'!$I$2:$I$105,$B26)</f>
        <v>1</v>
      </c>
    </row>
    <row r="27" spans="1:5" x14ac:dyDescent="0.25">
      <c r="A27" s="37" t="s">
        <v>242</v>
      </c>
      <c r="B27" s="38" t="s">
        <v>250</v>
      </c>
      <c r="C27" s="39" t="s">
        <v>226</v>
      </c>
      <c r="D27" s="40">
        <f>COUNTIF('De-para Risk tracking'!$G$2:$G$105,$B27)</f>
        <v>1</v>
      </c>
      <c r="E27" s="40">
        <f>COUNTIF('De-para Risk tracking'!$I$2:$I$105,$B27)</f>
        <v>2</v>
      </c>
    </row>
    <row r="28" spans="1:5" x14ac:dyDescent="0.25">
      <c r="A28" s="37" t="s">
        <v>242</v>
      </c>
      <c r="B28" s="38" t="s">
        <v>492</v>
      </c>
      <c r="C28" s="39" t="s">
        <v>226</v>
      </c>
      <c r="D28" s="40">
        <f>COUNTIF('De-para Risk tracking'!$G$2:$G$105,$B28)</f>
        <v>0</v>
      </c>
      <c r="E28" s="40">
        <f>COUNTIF('De-para Risk tracking'!$I$2:$I$105,$B28)</f>
        <v>0</v>
      </c>
    </row>
    <row r="29" spans="1:5" x14ac:dyDescent="0.25">
      <c r="A29" s="37" t="s">
        <v>242</v>
      </c>
      <c r="B29" s="38" t="s">
        <v>233</v>
      </c>
      <c r="C29" s="39" t="s">
        <v>226</v>
      </c>
      <c r="D29" s="40">
        <f>COUNTIF('De-para Risk tracking'!$G$2:$G$105,$B29)</f>
        <v>1</v>
      </c>
      <c r="E29" s="40">
        <f>COUNTIF('De-para Risk tracking'!$I$2:$I$105,$B29)</f>
        <v>2</v>
      </c>
    </row>
    <row r="30" spans="1:5" x14ac:dyDescent="0.25">
      <c r="A30" s="37" t="s">
        <v>287</v>
      </c>
      <c r="B30" s="38" t="s">
        <v>221</v>
      </c>
      <c r="C30" s="39" t="s">
        <v>226</v>
      </c>
      <c r="D30" s="40">
        <f>COUNTIF('De-para Risk tracking'!$G$2:$G$105,$B30)</f>
        <v>2</v>
      </c>
      <c r="E30" s="40">
        <f>COUNTIF('De-para Risk tracking'!$I$2:$I$105,$B30)</f>
        <v>5</v>
      </c>
    </row>
    <row r="31" spans="1:5" x14ac:dyDescent="0.25">
      <c r="A31" s="37" t="s">
        <v>287</v>
      </c>
      <c r="B31" s="38" t="s">
        <v>288</v>
      </c>
      <c r="C31" s="39" t="s">
        <v>278</v>
      </c>
      <c r="D31" s="40">
        <f>COUNTIF('De-para Risk tracking'!$G$2:$G$105,$B31)</f>
        <v>1</v>
      </c>
      <c r="E31" s="40">
        <f>COUNTIF('De-para Risk tracking'!$I$2:$I$105,$B31)</f>
        <v>0</v>
      </c>
    </row>
    <row r="32" spans="1:5" x14ac:dyDescent="0.25">
      <c r="A32" s="37" t="s">
        <v>287</v>
      </c>
      <c r="B32" s="38" t="s">
        <v>230</v>
      </c>
      <c r="C32" s="39" t="s">
        <v>226</v>
      </c>
      <c r="D32" s="40">
        <f>COUNTIF('De-para Risk tracking'!$G$2:$G$105,$B32)</f>
        <v>3</v>
      </c>
      <c r="E32" s="40">
        <f>COUNTIF('De-para Risk tracking'!$I$2:$I$105,$B32)</f>
        <v>1</v>
      </c>
    </row>
    <row r="33" spans="1:5" x14ac:dyDescent="0.25">
      <c r="A33" s="37" t="s">
        <v>287</v>
      </c>
      <c r="B33" s="38" t="s">
        <v>383</v>
      </c>
      <c r="C33" s="39" t="s">
        <v>226</v>
      </c>
      <c r="D33" s="40">
        <f>COUNTIF('De-para Risk tracking'!$G$2:$G$105,$B33)</f>
        <v>4</v>
      </c>
      <c r="E33" s="40">
        <f>COUNTIF('De-para Risk tracking'!$I$2:$I$105,$B33)</f>
        <v>1</v>
      </c>
    </row>
    <row r="34" spans="1:5" x14ac:dyDescent="0.25">
      <c r="A34" s="41"/>
      <c r="B34" s="41"/>
      <c r="C34" s="42"/>
      <c r="D34" s="42"/>
      <c r="E34" s="41"/>
    </row>
    <row r="35" spans="1:5" x14ac:dyDescent="0.25">
      <c r="A35" s="41"/>
      <c r="B35" s="41"/>
      <c r="C35" s="42"/>
      <c r="D35" s="42"/>
      <c r="E35" s="41"/>
    </row>
    <row r="36" spans="1:5" x14ac:dyDescent="0.25">
      <c r="A36" s="41"/>
      <c r="B36" s="41"/>
      <c r="C36" s="42"/>
      <c r="D36" s="42"/>
      <c r="E36" s="41"/>
    </row>
    <row r="37" spans="1:5" x14ac:dyDescent="0.25">
      <c r="A37" s="41"/>
      <c r="B37" s="41"/>
      <c r="C37" s="42"/>
      <c r="D37" s="42"/>
      <c r="E37" s="41"/>
    </row>
    <row r="38" spans="1:5" x14ac:dyDescent="0.25">
      <c r="A38" s="41"/>
      <c r="B38" s="41"/>
      <c r="C38" s="42"/>
      <c r="D38" s="42"/>
      <c r="E38" s="41"/>
    </row>
    <row r="39" spans="1:5" x14ac:dyDescent="0.25">
      <c r="A39" s="41"/>
      <c r="B39" s="41"/>
      <c r="C39" s="42"/>
      <c r="D39" s="42"/>
      <c r="E39" s="41"/>
    </row>
    <row r="40" spans="1:5" x14ac:dyDescent="0.25">
      <c r="A40" s="41"/>
      <c r="B40" s="41"/>
      <c r="C40" s="42"/>
      <c r="D40" s="42"/>
      <c r="E40" s="41"/>
    </row>
    <row r="41" spans="1:5" x14ac:dyDescent="0.25">
      <c r="A41" s="41"/>
      <c r="B41" s="41"/>
      <c r="C41" s="42"/>
      <c r="D41" s="42"/>
      <c r="E41" s="41"/>
    </row>
    <row r="42" spans="1:5" x14ac:dyDescent="0.25">
      <c r="A42" s="41"/>
      <c r="B42" s="41"/>
      <c r="C42" s="42"/>
      <c r="D42" s="42"/>
      <c r="E42" s="41"/>
    </row>
    <row r="43" spans="1:5" x14ac:dyDescent="0.25">
      <c r="A43" s="41"/>
      <c r="B43" s="41"/>
      <c r="C43" s="42"/>
      <c r="D43" s="42"/>
      <c r="E43" s="41"/>
    </row>
    <row r="44" spans="1:5" x14ac:dyDescent="0.25">
      <c r="A44" s="41"/>
      <c r="B44" s="41"/>
      <c r="C44" s="42"/>
      <c r="D44" s="42"/>
      <c r="E44" s="41"/>
    </row>
    <row r="45" spans="1:5" x14ac:dyDescent="0.25">
      <c r="A45" s="41"/>
      <c r="B45" s="41"/>
      <c r="C45" s="42"/>
      <c r="D45" s="42"/>
      <c r="E45" s="41"/>
    </row>
    <row r="46" spans="1:5" x14ac:dyDescent="0.25">
      <c r="A46" s="41"/>
      <c r="B46" s="41"/>
      <c r="C46" s="42"/>
      <c r="D46" s="42"/>
      <c r="E46" s="41"/>
    </row>
    <row r="47" spans="1:5" x14ac:dyDescent="0.25">
      <c r="A47" s="41"/>
      <c r="B47" s="41"/>
      <c r="C47" s="42"/>
      <c r="D47" s="42"/>
      <c r="E47" s="41"/>
    </row>
    <row r="48" spans="1:5" x14ac:dyDescent="0.25">
      <c r="A48" s="41"/>
      <c r="B48" s="41"/>
      <c r="C48" s="42"/>
      <c r="D48" s="42"/>
      <c r="E48" s="41"/>
    </row>
    <row r="49" spans="1:5" x14ac:dyDescent="0.25">
      <c r="A49" s="41"/>
      <c r="B49" s="41"/>
      <c r="C49" s="42"/>
      <c r="D49" s="42"/>
      <c r="E49" s="41"/>
    </row>
    <row r="50" spans="1:5" x14ac:dyDescent="0.25">
      <c r="A50" s="41"/>
      <c r="B50" s="41"/>
      <c r="C50" s="42"/>
      <c r="D50" s="42"/>
      <c r="E50" s="41"/>
    </row>
    <row r="51" spans="1:5" x14ac:dyDescent="0.25">
      <c r="A51" s="41"/>
      <c r="B51" s="41"/>
      <c r="C51" s="42"/>
      <c r="D51" s="42"/>
      <c r="E51" s="41"/>
    </row>
    <row r="52" spans="1:5" x14ac:dyDescent="0.25">
      <c r="A52" s="41"/>
      <c r="B52" s="41"/>
      <c r="C52" s="42"/>
      <c r="D52" s="42"/>
      <c r="E52" s="41"/>
    </row>
    <row r="53" spans="1:5" x14ac:dyDescent="0.25">
      <c r="A53" s="41"/>
      <c r="B53" s="41"/>
      <c r="C53" s="42"/>
      <c r="D53" s="42"/>
      <c r="E53" s="41"/>
    </row>
    <row r="54" spans="1:5" x14ac:dyDescent="0.25">
      <c r="A54" s="41"/>
      <c r="B54" s="41"/>
      <c r="C54" s="42"/>
      <c r="D54" s="42"/>
      <c r="E54" s="41"/>
    </row>
    <row r="55" spans="1:5" x14ac:dyDescent="0.25">
      <c r="A55" s="41"/>
      <c r="B55" s="41"/>
      <c r="C55" s="42"/>
      <c r="D55" s="42"/>
      <c r="E55" s="41"/>
    </row>
    <row r="56" spans="1:5" x14ac:dyDescent="0.25">
      <c r="A56" s="41"/>
      <c r="B56" s="41"/>
      <c r="C56" s="42"/>
      <c r="D56" s="42"/>
      <c r="E56" s="41"/>
    </row>
    <row r="57" spans="1:5" x14ac:dyDescent="0.25">
      <c r="A57" s="41"/>
      <c r="B57" s="41"/>
      <c r="C57" s="42"/>
      <c r="D57" s="42"/>
      <c r="E57" s="41"/>
    </row>
    <row r="58" spans="1:5" x14ac:dyDescent="0.25">
      <c r="A58" s="41"/>
      <c r="B58" s="41"/>
      <c r="C58" s="42"/>
      <c r="D58" s="42"/>
      <c r="E58" s="41"/>
    </row>
    <row r="59" spans="1:5" x14ac:dyDescent="0.25">
      <c r="A59" s="41"/>
      <c r="B59" s="41"/>
      <c r="C59" s="42"/>
      <c r="D59" s="42"/>
      <c r="E59" s="41"/>
    </row>
    <row r="60" spans="1:5" x14ac:dyDescent="0.25">
      <c r="A60" s="41"/>
      <c r="B60" s="41"/>
      <c r="C60" s="42"/>
      <c r="D60" s="42"/>
      <c r="E60" s="41"/>
    </row>
    <row r="61" spans="1:5" x14ac:dyDescent="0.25">
      <c r="A61" s="41"/>
      <c r="B61" s="41"/>
      <c r="C61" s="42"/>
      <c r="D61" s="42"/>
      <c r="E61" s="41"/>
    </row>
    <row r="62" spans="1:5" x14ac:dyDescent="0.25">
      <c r="A62" s="41"/>
      <c r="B62" s="41"/>
      <c r="C62" s="42"/>
      <c r="D62" s="42"/>
      <c r="E62" s="41"/>
    </row>
    <row r="63" spans="1:5" x14ac:dyDescent="0.25">
      <c r="A63" s="41"/>
      <c r="B63" s="41"/>
      <c r="C63" s="42"/>
      <c r="D63" s="42"/>
      <c r="E63" s="41"/>
    </row>
    <row r="64" spans="1:5" x14ac:dyDescent="0.25">
      <c r="A64" s="41"/>
      <c r="B64" s="41"/>
      <c r="C64" s="42"/>
      <c r="D64" s="42"/>
      <c r="E64" s="41"/>
    </row>
    <row r="65" spans="1:5" x14ac:dyDescent="0.25">
      <c r="A65" s="41"/>
      <c r="B65" s="41"/>
      <c r="C65" s="42"/>
      <c r="D65" s="42"/>
      <c r="E65" s="41"/>
    </row>
    <row r="66" spans="1:5" x14ac:dyDescent="0.25">
      <c r="A66" s="41"/>
      <c r="B66" s="41"/>
      <c r="C66" s="42"/>
      <c r="D66" s="42"/>
      <c r="E66" s="41"/>
    </row>
    <row r="67" spans="1:5" x14ac:dyDescent="0.25">
      <c r="A67" s="41"/>
      <c r="B67" s="41"/>
      <c r="C67" s="42"/>
      <c r="D67" s="42"/>
      <c r="E67" s="41"/>
    </row>
    <row r="68" spans="1:5" x14ac:dyDescent="0.25">
      <c r="A68" s="41"/>
      <c r="B68" s="41"/>
      <c r="C68" s="42"/>
      <c r="D68" s="42"/>
      <c r="E68" s="41"/>
    </row>
    <row r="69" spans="1:5" x14ac:dyDescent="0.25">
      <c r="A69" s="41"/>
      <c r="B69" s="41"/>
      <c r="C69" s="42"/>
      <c r="D69" s="42"/>
      <c r="E69" s="41"/>
    </row>
    <row r="70" spans="1:5" x14ac:dyDescent="0.25">
      <c r="A70" s="41"/>
      <c r="B70" s="41"/>
      <c r="C70" s="42"/>
      <c r="D70" s="42"/>
      <c r="E70" s="41"/>
    </row>
    <row r="71" spans="1:5" x14ac:dyDescent="0.25">
      <c r="A71" s="41"/>
      <c r="B71" s="41"/>
      <c r="C71" s="42"/>
      <c r="D71" s="42"/>
      <c r="E71" s="41"/>
    </row>
    <row r="72" spans="1:5" x14ac:dyDescent="0.25">
      <c r="A72" s="41"/>
      <c r="B72" s="41"/>
      <c r="C72" s="42"/>
      <c r="D72" s="42"/>
      <c r="E72" s="41"/>
    </row>
    <row r="73" spans="1:5" x14ac:dyDescent="0.25">
      <c r="A73" s="41"/>
      <c r="B73" s="41"/>
      <c r="C73" s="42"/>
      <c r="D73" s="42"/>
      <c r="E73" s="41"/>
    </row>
    <row r="74" spans="1:5" x14ac:dyDescent="0.25">
      <c r="A74" s="41"/>
      <c r="B74" s="41"/>
      <c r="C74" s="42"/>
      <c r="D74" s="42"/>
      <c r="E74" s="41"/>
    </row>
    <row r="75" spans="1:5" x14ac:dyDescent="0.25">
      <c r="A75" s="41"/>
      <c r="B75" s="41"/>
      <c r="C75" s="42"/>
      <c r="D75" s="42"/>
      <c r="E75" s="41"/>
    </row>
    <row r="76" spans="1:5" x14ac:dyDescent="0.25">
      <c r="A76" s="41"/>
      <c r="B76" s="41"/>
      <c r="C76" s="42"/>
      <c r="D76" s="42"/>
      <c r="E76" s="41"/>
    </row>
    <row r="77" spans="1:5" x14ac:dyDescent="0.25">
      <c r="A77" s="41"/>
      <c r="B77" s="41"/>
      <c r="C77" s="42"/>
      <c r="D77" s="42"/>
      <c r="E77" s="41"/>
    </row>
    <row r="78" spans="1:5" x14ac:dyDescent="0.25">
      <c r="A78" s="41"/>
      <c r="B78" s="41"/>
      <c r="C78" s="42"/>
      <c r="D78" s="42"/>
      <c r="E78" s="41"/>
    </row>
    <row r="79" spans="1:5" x14ac:dyDescent="0.25">
      <c r="A79" s="41"/>
      <c r="B79" s="41"/>
      <c r="C79" s="42"/>
      <c r="D79" s="42"/>
      <c r="E79" s="41"/>
    </row>
    <row r="80" spans="1:5" x14ac:dyDescent="0.25">
      <c r="A80" s="41"/>
      <c r="B80" s="41"/>
      <c r="C80" s="42"/>
      <c r="D80" s="42"/>
      <c r="E80" s="41"/>
    </row>
    <row r="81" spans="1:5" x14ac:dyDescent="0.25">
      <c r="A81" s="41"/>
      <c r="B81" s="41"/>
      <c r="C81" s="42"/>
      <c r="D81" s="42"/>
      <c r="E81" s="41"/>
    </row>
    <row r="82" spans="1:5" x14ac:dyDescent="0.25">
      <c r="A82" s="41"/>
      <c r="B82" s="41"/>
      <c r="C82" s="42"/>
      <c r="D82" s="42"/>
      <c r="E82" s="41"/>
    </row>
    <row r="83" spans="1:5" x14ac:dyDescent="0.25">
      <c r="A83" s="41"/>
      <c r="B83" s="41"/>
      <c r="C83" s="42"/>
      <c r="D83" s="42"/>
      <c r="E83" s="41"/>
    </row>
    <row r="84" spans="1:5" x14ac:dyDescent="0.25">
      <c r="A84" s="41"/>
      <c r="B84" s="41"/>
      <c r="C84" s="42"/>
      <c r="D84" s="42"/>
      <c r="E84" s="41"/>
    </row>
    <row r="85" spans="1:5" x14ac:dyDescent="0.25">
      <c r="A85" s="41"/>
      <c r="B85" s="41"/>
      <c r="C85" s="42"/>
      <c r="D85" s="42"/>
      <c r="E85" s="41"/>
    </row>
    <row r="86" spans="1:5" x14ac:dyDescent="0.25">
      <c r="A86" s="41"/>
      <c r="B86" s="41"/>
      <c r="C86" s="42"/>
      <c r="D86" s="42"/>
      <c r="E86" s="41"/>
    </row>
    <row r="87" spans="1:5" x14ac:dyDescent="0.25">
      <c r="A87" s="41"/>
      <c r="B87" s="41"/>
      <c r="C87" s="42"/>
      <c r="D87" s="42"/>
      <c r="E87" s="41"/>
    </row>
    <row r="88" spans="1:5" x14ac:dyDescent="0.25">
      <c r="A88" s="41"/>
      <c r="B88" s="41"/>
      <c r="C88" s="42"/>
      <c r="D88" s="42"/>
      <c r="E88" s="41"/>
    </row>
    <row r="89" spans="1:5" x14ac:dyDescent="0.25">
      <c r="A89" s="41"/>
      <c r="B89" s="41"/>
      <c r="C89" s="42"/>
      <c r="D89" s="42"/>
      <c r="E89" s="41"/>
    </row>
    <row r="90" spans="1:5" x14ac:dyDescent="0.25">
      <c r="A90" s="41"/>
      <c r="B90" s="41"/>
      <c r="C90" s="42"/>
      <c r="D90" s="42"/>
      <c r="E90" s="41"/>
    </row>
    <row r="91" spans="1:5" x14ac:dyDescent="0.25">
      <c r="A91" s="41"/>
      <c r="B91" s="41"/>
      <c r="C91" s="42"/>
      <c r="D91" s="42"/>
      <c r="E91" s="41"/>
    </row>
    <row r="92" spans="1:5" x14ac:dyDescent="0.25">
      <c r="A92" s="41"/>
      <c r="B92" s="41"/>
      <c r="C92" s="42"/>
      <c r="D92" s="42"/>
      <c r="E92" s="41"/>
    </row>
    <row r="93" spans="1:5" x14ac:dyDescent="0.25">
      <c r="A93" s="41"/>
      <c r="B93" s="41"/>
      <c r="C93" s="42"/>
      <c r="D93" s="42"/>
      <c r="E93" s="41"/>
    </row>
    <row r="94" spans="1:5" x14ac:dyDescent="0.25">
      <c r="A94" s="41"/>
      <c r="B94" s="41"/>
      <c r="C94" s="42"/>
      <c r="D94" s="42"/>
      <c r="E94" s="41"/>
    </row>
    <row r="95" spans="1:5" x14ac:dyDescent="0.25">
      <c r="A95" s="41"/>
      <c r="B95" s="41"/>
      <c r="C95" s="42"/>
      <c r="D95" s="42"/>
      <c r="E95" s="41"/>
    </row>
    <row r="96" spans="1:5" x14ac:dyDescent="0.25">
      <c r="A96" s="41"/>
      <c r="B96" s="41"/>
      <c r="C96" s="42"/>
      <c r="D96" s="42"/>
      <c r="E96" s="41"/>
    </row>
    <row r="97" spans="1:5" x14ac:dyDescent="0.25">
      <c r="A97" s="41"/>
      <c r="B97" s="41"/>
      <c r="C97" s="42"/>
      <c r="D97" s="42"/>
      <c r="E97" s="41"/>
    </row>
    <row r="98" spans="1:5" x14ac:dyDescent="0.25">
      <c r="A98" s="41"/>
      <c r="B98" s="41"/>
      <c r="C98" s="42"/>
      <c r="D98" s="42"/>
      <c r="E98" s="41"/>
    </row>
    <row r="99" spans="1:5" x14ac:dyDescent="0.25">
      <c r="A99" s="41"/>
      <c r="B99" s="41"/>
      <c r="C99" s="42"/>
      <c r="D99" s="42"/>
      <c r="E99" s="41"/>
    </row>
    <row r="100" spans="1:5" x14ac:dyDescent="0.25">
      <c r="A100" s="41"/>
      <c r="B100" s="41"/>
      <c r="C100" s="42"/>
      <c r="D100" s="42"/>
      <c r="E100" s="41"/>
    </row>
    <row r="101" spans="1:5" x14ac:dyDescent="0.25">
      <c r="A101" s="41"/>
      <c r="B101" s="41"/>
      <c r="C101" s="42"/>
      <c r="D101" s="42"/>
      <c r="E101" s="41"/>
    </row>
    <row r="102" spans="1:5" x14ac:dyDescent="0.25">
      <c r="A102" s="41"/>
      <c r="B102" s="41"/>
      <c r="C102" s="42"/>
      <c r="D102" s="42"/>
      <c r="E102" s="41"/>
    </row>
    <row r="103" spans="1:5" x14ac:dyDescent="0.25">
      <c r="A103" s="41"/>
      <c r="B103" s="41"/>
      <c r="C103" s="42"/>
      <c r="D103" s="42"/>
      <c r="E103" s="41"/>
    </row>
    <row r="104" spans="1:5" x14ac:dyDescent="0.25">
      <c r="A104" s="41"/>
      <c r="B104" s="41"/>
      <c r="C104" s="42"/>
      <c r="D104" s="42"/>
      <c r="E104" s="41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showGridLines="0" zoomScaleNormal="100" workbookViewId="0"/>
  </sheetViews>
  <sheetFormatPr defaultColWidth="8.5546875" defaultRowHeight="14.4" x14ac:dyDescent="0.3"/>
  <cols>
    <col min="1" max="1" width="4" customWidth="1"/>
    <col min="2" max="2" width="14" customWidth="1"/>
    <col min="3" max="3" width="42" customWidth="1"/>
    <col min="4" max="4" width="60" customWidth="1"/>
    <col min="5" max="5" width="12" customWidth="1"/>
    <col min="6" max="6" width="58" customWidth="1"/>
  </cols>
  <sheetData>
    <row r="1" spans="1:6" x14ac:dyDescent="0.3">
      <c r="A1" s="22" t="s">
        <v>204</v>
      </c>
      <c r="B1" s="22" t="s">
        <v>493</v>
      </c>
      <c r="C1" s="22" t="s">
        <v>494</v>
      </c>
      <c r="D1" s="22" t="s">
        <v>495</v>
      </c>
      <c r="E1" s="22" t="s">
        <v>496</v>
      </c>
      <c r="F1" s="22" t="s">
        <v>497</v>
      </c>
    </row>
    <row r="2" spans="1:6" ht="39.6" x14ac:dyDescent="0.3">
      <c r="A2" s="28">
        <v>1</v>
      </c>
      <c r="B2" s="29" t="s">
        <v>498</v>
      </c>
      <c r="C2" s="30" t="s">
        <v>499</v>
      </c>
      <c r="D2" s="26" t="s">
        <v>500</v>
      </c>
      <c r="E2" s="28" t="s">
        <v>501</v>
      </c>
      <c r="F2" s="26" t="s">
        <v>502</v>
      </c>
    </row>
    <row r="3" spans="1:6" ht="26.4" x14ac:dyDescent="0.3">
      <c r="A3" s="28">
        <v>2</v>
      </c>
      <c r="B3" s="29" t="s">
        <v>503</v>
      </c>
      <c r="C3" s="30" t="s">
        <v>504</v>
      </c>
      <c r="D3" s="26" t="s">
        <v>505</v>
      </c>
      <c r="E3" s="28" t="s">
        <v>501</v>
      </c>
      <c r="F3" s="26" t="s">
        <v>506</v>
      </c>
    </row>
    <row r="4" spans="1:6" ht="39.6" x14ac:dyDescent="0.3">
      <c r="A4" s="28">
        <v>3</v>
      </c>
      <c r="B4" s="29" t="s">
        <v>507</v>
      </c>
      <c r="C4" s="30" t="s">
        <v>508</v>
      </c>
      <c r="D4" s="26" t="s">
        <v>509</v>
      </c>
      <c r="E4" s="28" t="s">
        <v>501</v>
      </c>
      <c r="F4" s="26" t="s">
        <v>510</v>
      </c>
    </row>
    <row r="5" spans="1:6" ht="26.4" x14ac:dyDescent="0.3">
      <c r="A5" s="28">
        <v>4</v>
      </c>
      <c r="B5" s="29" t="s">
        <v>511</v>
      </c>
      <c r="C5" s="30" t="s">
        <v>512</v>
      </c>
      <c r="D5" s="26" t="s">
        <v>513</v>
      </c>
      <c r="E5" s="28" t="s">
        <v>501</v>
      </c>
      <c r="F5" s="26" t="s">
        <v>514</v>
      </c>
    </row>
    <row r="6" spans="1:6" ht="26.4" x14ac:dyDescent="0.3">
      <c r="A6" s="28">
        <v>5</v>
      </c>
      <c r="B6" s="29" t="s">
        <v>511</v>
      </c>
      <c r="C6" s="30" t="s">
        <v>515</v>
      </c>
      <c r="D6" s="26" t="s">
        <v>516</v>
      </c>
      <c r="E6" s="28" t="s">
        <v>517</v>
      </c>
      <c r="F6" s="26" t="s">
        <v>518</v>
      </c>
    </row>
    <row r="7" spans="1:6" ht="26.4" x14ac:dyDescent="0.3">
      <c r="A7" s="28">
        <v>6</v>
      </c>
      <c r="B7" s="29" t="s">
        <v>511</v>
      </c>
      <c r="C7" s="30" t="s">
        <v>519</v>
      </c>
      <c r="D7" s="26" t="s">
        <v>520</v>
      </c>
      <c r="E7" s="28" t="s">
        <v>501</v>
      </c>
      <c r="F7" s="26" t="s">
        <v>521</v>
      </c>
    </row>
    <row r="8" spans="1:6" ht="26.4" x14ac:dyDescent="0.3">
      <c r="A8" s="28">
        <v>7</v>
      </c>
      <c r="B8" s="29" t="s">
        <v>522</v>
      </c>
      <c r="C8" s="30" t="s">
        <v>523</v>
      </c>
      <c r="D8" s="26" t="s">
        <v>524</v>
      </c>
      <c r="E8" s="28" t="s">
        <v>525</v>
      </c>
      <c r="F8" s="26" t="s">
        <v>526</v>
      </c>
    </row>
    <row r="9" spans="1:6" ht="26.4" x14ac:dyDescent="0.3">
      <c r="A9" s="28">
        <v>8</v>
      </c>
      <c r="B9" s="29" t="s">
        <v>527</v>
      </c>
      <c r="C9" s="30" t="s">
        <v>528</v>
      </c>
      <c r="D9" s="26" t="s">
        <v>529</v>
      </c>
      <c r="E9" s="28" t="s">
        <v>517</v>
      </c>
      <c r="F9" s="26" t="s">
        <v>530</v>
      </c>
    </row>
    <row r="10" spans="1:6" ht="39.6" x14ac:dyDescent="0.3">
      <c r="A10" s="28">
        <v>9</v>
      </c>
      <c r="B10" s="29" t="s">
        <v>531</v>
      </c>
      <c r="C10" s="30" t="s">
        <v>532</v>
      </c>
      <c r="D10" s="26" t="s">
        <v>533</v>
      </c>
      <c r="E10" s="28" t="s">
        <v>517</v>
      </c>
      <c r="F10" s="26" t="s">
        <v>534</v>
      </c>
    </row>
    <row r="11" spans="1:6" ht="26.4" x14ac:dyDescent="0.3">
      <c r="A11" s="28">
        <v>10</v>
      </c>
      <c r="B11" s="29" t="s">
        <v>535</v>
      </c>
      <c r="C11" s="30" t="s">
        <v>536</v>
      </c>
      <c r="D11" s="26" t="s">
        <v>537</v>
      </c>
      <c r="E11" s="28" t="s">
        <v>501</v>
      </c>
      <c r="F11" s="26" t="s">
        <v>538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Como ler</vt:lpstr>
      <vt:lpstr>Visão Fernanda</vt:lpstr>
      <vt:lpstr>De-para Risk tracking</vt:lpstr>
      <vt:lpstr>Taxonomia de temas</vt:lpstr>
      <vt:lpstr>Risk tracking map</vt:lpstr>
      <vt:lpstr>Pontos de atenção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Beatriz Nogueira Margulies</dc:creator>
  <dc:description/>
  <cp:lastModifiedBy>Guilherme Barrotti Trevisan</cp:lastModifiedBy>
  <cp:revision>0</cp:revision>
  <dcterms:created xsi:type="dcterms:W3CDTF">2026-10-01T23:06:23Z</dcterms:created>
  <dcterms:modified xsi:type="dcterms:W3CDTF">2026-10-08T20:37:30Z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cao">
    <vt:lpwstr>Confidencial Peers</vt:lpwstr>
  </property>
  <property fmtid="{D5CDD505-2E9C-101B-9397-08002B2CF9AE}" pid="3" name="ContentTypeId">
    <vt:lpwstr>0x01010087B534546C65DC44AA751C9B6E41B127</vt:lpwstr>
  </property>
  <property fmtid="{D5CDD505-2E9C-101B-9397-08002B2CF9AE}" pid="4" name="MediaServiceImageTags">
    <vt:lpwstr/>
  </property>
  <property fmtid="{D5CDD505-2E9C-101B-9397-08002B2CF9AE}" pid="5" name="Objeto">
    <vt:lpwstr>b2880ce1-2f3a-45e0-9c66-94b69b9339bc</vt:lpwstr>
  </property>
</Properties>
</file>